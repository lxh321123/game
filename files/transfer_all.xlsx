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重排分析" sheetId="2" state="visible" r:id="rId2"/>
    <sheet xmlns:r="http://schemas.openxmlformats.org/officeDocument/2006/relationships" name="同组织同平台泛化" sheetId="3" state="visible" r:id="rId3"/>
    <sheet xmlns:r="http://schemas.openxmlformats.org/officeDocument/2006/relationships" name="跨平台泛化" sheetId="4" state="visible" r:id="rId4"/>
    <sheet xmlns:r="http://schemas.openxmlformats.org/officeDocument/2006/relationships" name="迁移主因素" sheetId="5" state="visible" r:id="rId5"/>
    <sheet xmlns:r="http://schemas.openxmlformats.org/officeDocument/2006/relationships" name="时间分析" sheetId="6" state="visible" r:id="rId6"/>
    <sheet xmlns:r="http://schemas.openxmlformats.org/officeDocument/2006/relationships" name="新增实验说明" sheetId="7" state="visible" r:id="rId7"/>
    <sheet xmlns:r="http://schemas.openxmlformats.org/officeDocument/2006/relationships" name="P2 切片内LOO" sheetId="8" state="visible" r:id="rId8"/>
    <sheet xmlns:r="http://schemas.openxmlformats.org/officeDocument/2006/relationships" name="P4 个体间迁移" sheetId="9" state="visible" r:id="rId9"/>
    <sheet xmlns:r="http://schemas.openxmlformats.org/officeDocument/2006/relationships" name="P6 正迁移机制" sheetId="10" state="visible" r:id="rId10"/>
    <sheet xmlns:r="http://schemas.openxmlformats.org/officeDocument/2006/relationships" name="P7-P16 数据规模" sheetId="11" state="visible" r:id="rId11"/>
    <sheet xmlns:r="http://schemas.openxmlformats.org/officeDocument/2006/relationships" name="P18 跨平台等效" sheetId="12" state="visible" r:id="rId12"/>
    <sheet xmlns:r="http://schemas.openxmlformats.org/officeDocument/2006/relationships" name="P19 跨器官等效" sheetId="13" state="visible" r:id="rId13"/>
    <sheet xmlns:r="http://schemas.openxmlformats.org/officeDocument/2006/relationships" name="新增实验总览" sheetId="14" state="visible" r:id="rId14"/>
  </sheets>
  <definedNames>
    <definedName name="_xlnm._FilterDatabase" localSheetId="7" hidden="1">'P2 切片内LOO'!$A$4:$O$37</definedName>
    <definedName name="_xlnm._FilterDatabase" localSheetId="8" hidden="1">'P4 个体间迁移'!$A$4:$O$64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0.00_ "/>
    <numFmt numFmtId="165" formatCode="0.0000_ "/>
    <numFmt numFmtId="166" formatCode="0.0000_);[Red]\(0.0000\)"/>
    <numFmt numFmtId="167" formatCode="0.0000"/>
    <numFmt numFmtId="168" formatCode="0.000"/>
    <numFmt numFmtId="169" formatCode="0.000000"/>
  </numFmts>
  <fonts count="48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Wingdings 3"/>
      <charset val="2"/>
      <family val="1"/>
      <color theme="1"/>
      <sz val="11"/>
    </font>
    <font>
      <name val="等线"/>
      <charset val="134"/>
      <family val="3"/>
      <color theme="1"/>
      <sz val="11"/>
    </font>
    <font>
      <name val="Wingdings 2"/>
      <charset val="2"/>
      <family val="1"/>
      <color theme="1"/>
      <sz val="11"/>
    </font>
    <font>
      <name val="等线"/>
      <family val="2"/>
      <color rgb="FFFF0000"/>
      <sz val="11"/>
      <scheme val="minor"/>
    </font>
    <font>
      <name val="等线"/>
      <family val="2"/>
      <color theme="8" tint="-0.249977111117893"/>
      <sz val="11"/>
      <scheme val="minor"/>
    </font>
    <font>
      <name val="Wingdings 2"/>
      <charset val="2"/>
      <family val="1"/>
      <color theme="8" tint="-0.249977111117893"/>
      <sz val="11"/>
    </font>
    <font>
      <name val="等线"/>
      <charset val="134"/>
      <family val="3"/>
      <color theme="8" tint="-0.249977111117893"/>
      <sz val="11"/>
    </font>
    <font>
      <name val="等线"/>
      <family val="2"/>
      <color rgb="FFC00000"/>
      <sz val="11"/>
      <scheme val="minor"/>
    </font>
    <font>
      <name val="Wingdings 2"/>
      <charset val="2"/>
      <family val="1"/>
      <color rgb="FFC00000"/>
      <sz val="11"/>
    </font>
    <font>
      <name val="等线"/>
      <charset val="134"/>
      <family val="3"/>
      <color rgb="FFC00000"/>
      <sz val="11"/>
    </font>
    <font>
      <name val="等线"/>
      <family val="2"/>
      <color theme="4" tint="-0.249977111117893"/>
      <sz val="11"/>
      <scheme val="minor"/>
    </font>
    <font>
      <name val="Segoe UI"/>
      <family val="2"/>
      <b val="1"/>
      <color rgb="FFC00000"/>
      <sz val="11"/>
    </font>
    <font>
      <name val="Segoe UI"/>
      <family val="2"/>
      <color rgb="FF1A1A2E"/>
      <sz val="11"/>
    </font>
    <font>
      <name val="Segoe UI"/>
      <family val="2"/>
      <b val="1"/>
      <color theme="4" tint="-0.249977111117893"/>
      <sz val="11"/>
    </font>
    <font>
      <name val="Segoe UI"/>
      <family val="2"/>
      <b val="1"/>
      <color rgb="FF1A1A2E"/>
      <sz val="11"/>
    </font>
    <font>
      <name val="微软雅黑"/>
      <charset val="134"/>
      <family val="2"/>
      <color rgb="FF1A1A2E"/>
      <sz val="11"/>
    </font>
    <font>
      <name val="Segoe UI"/>
      <family val="2"/>
      <color rgb="FFFFFFFF"/>
      <sz val="11"/>
    </font>
    <font>
      <name val="Segoe UI"/>
      <family val="2"/>
      <color rgb="FFFFFFFF"/>
      <sz val="10"/>
    </font>
    <font>
      <name val="Segoe UI"/>
      <family val="2"/>
      <b val="1"/>
      <color rgb="FF1A1A2E"/>
      <sz val="10"/>
    </font>
    <font>
      <name val="Segoe UI"/>
      <family val="2"/>
      <color rgb="FF1A1A2E"/>
      <sz val="10"/>
    </font>
    <font>
      <name val="等线"/>
      <family val="2"/>
      <color theme="1"/>
      <sz val="10"/>
      <scheme val="minor"/>
    </font>
    <font>
      <name val="微软雅黑"/>
      <charset val="134"/>
      <family val="2"/>
      <color rgb="FFFFFFFF"/>
      <sz val="10"/>
    </font>
    <font>
      <name val="等线"/>
      <family val="2"/>
      <color rgb="FF1A1A2E"/>
      <sz val="10"/>
    </font>
    <font>
      <name val="Segoe UI"/>
      <family val="2"/>
      <color theme="4" tint="-0.249977111117893"/>
      <sz val="10"/>
    </font>
    <font>
      <name val="Segoe UI"/>
      <family val="2"/>
      <b val="1"/>
      <color theme="4" tint="-0.249977111117893"/>
      <sz val="10"/>
    </font>
    <font>
      <name val="Segoe UI"/>
      <family val="2"/>
      <color rgb="FFFFFFFF"/>
      <sz val="7"/>
    </font>
    <font>
      <name val="Segoe UI"/>
      <family val="2"/>
      <color rgb="FF333333"/>
      <sz val="10"/>
    </font>
    <font>
      <name val="微软雅黑"/>
      <charset val="134"/>
      <family val="2"/>
      <color rgb="FF333333"/>
      <sz val="10"/>
    </font>
    <font>
      <name val="宋体"/>
      <charset val="134"/>
      <family val="2"/>
      <color rgb="FF1A1A2E"/>
      <sz val="10"/>
    </font>
    <font>
      <name val="宋体"/>
      <charset val="134"/>
      <family val="2"/>
      <color rgb="FF333333"/>
      <sz val="10"/>
    </font>
    <font>
      <name val="微软雅黑"/>
      <charset val="134"/>
      <family val="2"/>
      <color rgb="FF1A1A2E"/>
      <sz val="10"/>
    </font>
    <font>
      <name val="等线"/>
      <family val="2"/>
      <color rgb="FFFFFFFF"/>
      <sz val="7"/>
    </font>
    <font>
      <name val="Segoe UI"/>
      <family val="2"/>
      <color rgb="FFFF0000"/>
      <sz val="11"/>
    </font>
    <font>
      <name val="等线"/>
      <charset val="134"/>
      <family val="2"/>
      <color rgb="FF1A1A2E"/>
      <sz val="10"/>
    </font>
    <font>
      <name val="微软雅黑"/>
      <charset val="134"/>
      <family val="2"/>
      <b val="1"/>
      <color rgb="FFC00000"/>
      <sz val="11"/>
    </font>
    <font>
      <name val="等线"/>
      <family val="2"/>
      <color theme="9"/>
      <sz val="11"/>
      <scheme val="minor"/>
    </font>
    <font>
      <name val="等线"/>
      <charset val="134"/>
      <family val="3"/>
      <color theme="9"/>
      <sz val="11"/>
      <scheme val="minor"/>
    </font>
    <font>
      <name val="等线"/>
      <b val="1"/>
      <color rgb="00FFFFFF"/>
      <sz val="14"/>
    </font>
    <font>
      <name val="等线"/>
      <i val="1"/>
      <color rgb="00595959"/>
      <sz val="9"/>
    </font>
    <font>
      <name val="等线"/>
      <b val="1"/>
      <color rgb="001F4E79"/>
      <sz val="11"/>
    </font>
    <font>
      <name val="等线"/>
      <b val="1"/>
      <color rgb="00FFFFFF"/>
      <sz val="10"/>
    </font>
    <font>
      <name val="等线"/>
      <sz val="10"/>
    </font>
    <font>
      <name val="等线"/>
      <b val="1"/>
      <color rgb="00107C41"/>
      <sz val="10"/>
    </font>
    <font>
      <name val="等线"/>
      <b val="1"/>
      <color rgb="00BF8F00"/>
      <sz val="10"/>
    </font>
    <font>
      <name val="等线"/>
      <b val="1"/>
      <color rgb="00C00000"/>
      <sz val="10"/>
    </font>
    <font>
      <name val="等线"/>
      <b val="1"/>
      <sz val="10"/>
    </font>
  </fonts>
  <fills count="12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6D77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001F4E79"/>
      </patternFill>
    </fill>
    <fill>
      <patternFill patternType="solid">
        <fgColor rgb="00DEEBF7"/>
      </patternFill>
    </fill>
    <fill>
      <patternFill patternType="solid">
        <fgColor rgb="002E75B6"/>
      </patternFill>
    </fill>
    <fill>
      <patternFill patternType="solid">
        <fgColor rgb="00F5F9FD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E2E8F0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7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0" fontId="2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4" fillId="0" borderId="0" pivotButton="0" quotePrefix="0" xfId="0"/>
    <xf numFmtId="0" fontId="5" fillId="0" borderId="0" pivotButton="0" quotePrefix="0" xfId="0"/>
    <xf numFmtId="0" fontId="5" fillId="3" borderId="0" pivotButton="0" quotePrefix="0" xfId="0"/>
    <xf numFmtId="0" fontId="6" fillId="0" borderId="0" applyAlignment="1" pivotButton="0" quotePrefix="0" xfId="0">
      <alignment vertical="center"/>
    </xf>
    <xf numFmtId="0" fontId="6" fillId="2" borderId="0" applyAlignment="1" pivotButton="0" quotePrefix="0" xfId="0">
      <alignment vertical="center"/>
    </xf>
    <xf numFmtId="0" fontId="6" fillId="3" borderId="0" pivotButton="0" quotePrefix="0" xfId="0"/>
    <xf numFmtId="0" fontId="6" fillId="0" borderId="0" pivotButton="0" quotePrefix="0" xfId="0"/>
    <xf numFmtId="0" fontId="9" fillId="0" borderId="0" applyAlignment="1" pivotButton="0" quotePrefix="0" xfId="0">
      <alignment vertical="center"/>
    </xf>
    <xf numFmtId="0" fontId="9" fillId="2" borderId="0" applyAlignment="1" pivotButton="0" quotePrefix="0" xfId="0">
      <alignment vertical="center"/>
    </xf>
    <xf numFmtId="0" fontId="9" fillId="0" borderId="0" pivotButton="0" quotePrefix="0" xfId="0"/>
    <xf numFmtId="49" fontId="12" fillId="0" borderId="0" applyAlignment="1" pivotButton="0" quotePrefix="0" xfId="0">
      <alignment horizontal="right" vertical="center"/>
    </xf>
    <xf numFmtId="0" fontId="12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right" vertical="center"/>
    </xf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58" fontId="0" fillId="0" borderId="0" pivotButton="0" quotePrefix="0" xfId="0"/>
    <xf numFmtId="49" fontId="0" fillId="0" borderId="0" applyAlignment="1" pivotButton="0" quotePrefix="0" xfId="0">
      <alignment vertical="center"/>
    </xf>
    <xf numFmtId="3" fontId="0" fillId="0" borderId="0" applyAlignment="1" pivotButton="0" quotePrefix="0" xfId="0">
      <alignment vertical="center"/>
    </xf>
    <xf numFmtId="0" fontId="14" fillId="0" borderId="1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right" vertical="center" wrapText="1"/>
    </xf>
    <xf numFmtId="0" fontId="14" fillId="0" borderId="1" applyAlignment="1" pivotButton="0" quotePrefix="0" xfId="0">
      <alignment horizontal="right" vertical="center" wrapText="1"/>
    </xf>
    <xf numFmtId="10" fontId="14" fillId="0" borderId="1" applyAlignment="1" pivotButton="0" quotePrefix="0" xfId="0">
      <alignment horizontal="right" vertical="center" wrapText="1"/>
    </xf>
    <xf numFmtId="0" fontId="18" fillId="4" borderId="0" applyAlignment="1" pivotButton="0" quotePrefix="0" xfId="0">
      <alignment horizontal="left" vertical="center" wrapText="1"/>
    </xf>
    <xf numFmtId="0" fontId="18" fillId="4" borderId="0" applyAlignment="1" pivotButton="0" quotePrefix="0" xfId="0">
      <alignment horizontal="right" vertical="center" wrapText="1"/>
    </xf>
    <xf numFmtId="0" fontId="18" fillId="4" borderId="0" applyAlignment="1" pivotButton="0" quotePrefix="0" xfId="0">
      <alignment horizontal="center" vertical="center" wrapText="1"/>
    </xf>
    <xf numFmtId="10" fontId="14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left" vertical="center" wrapText="1"/>
    </xf>
    <xf numFmtId="10" fontId="16" fillId="0" borderId="1" applyAlignment="1" pivotButton="0" quotePrefix="0" xfId="0">
      <alignment horizontal="center" vertical="center" wrapText="1"/>
    </xf>
    <xf numFmtId="0" fontId="19" fillId="4" borderId="0" applyAlignment="1" pivotButton="0" quotePrefix="0" xfId="0">
      <alignment horizontal="left" vertical="center" wrapText="1"/>
    </xf>
    <xf numFmtId="0" fontId="19" fillId="4" borderId="0" applyAlignment="1" pivotButton="0" quotePrefix="0" xfId="0">
      <alignment horizontal="right" vertical="center" wrapText="1"/>
    </xf>
    <xf numFmtId="0" fontId="20" fillId="0" borderId="1" applyAlignment="1" pivotButton="0" quotePrefix="0" xfId="0">
      <alignment horizontal="left" vertical="center" wrapText="1"/>
    </xf>
    <xf numFmtId="0" fontId="20" fillId="0" borderId="1" applyAlignment="1" pivotButton="0" quotePrefix="0" xfId="0">
      <alignment horizontal="right" vertical="center" wrapText="1"/>
    </xf>
    <xf numFmtId="0" fontId="21" fillId="0" borderId="1" applyAlignment="1" pivotButton="0" quotePrefix="0" xfId="0">
      <alignment horizontal="right" vertical="center" wrapText="1"/>
    </xf>
    <xf numFmtId="0" fontId="21" fillId="0" borderId="1" applyAlignment="1" pivotButton="0" quotePrefix="0" xfId="0">
      <alignment horizontal="left" vertical="center" wrapText="1"/>
    </xf>
    <xf numFmtId="0" fontId="21" fillId="5" borderId="1" applyAlignment="1" pivotButton="0" quotePrefix="0" xfId="0">
      <alignment horizontal="left" vertical="center" wrapText="1"/>
    </xf>
    <xf numFmtId="0" fontId="21" fillId="5" borderId="1" applyAlignment="1" pivotButton="0" quotePrefix="0" xfId="0">
      <alignment horizontal="right" vertical="center" wrapText="1"/>
    </xf>
    <xf numFmtId="0" fontId="22" fillId="0" borderId="0" pivotButton="0" quotePrefix="0" xfId="0"/>
    <xf numFmtId="0" fontId="19" fillId="4" borderId="0" applyAlignment="1" pivotButton="0" quotePrefix="0" xfId="0">
      <alignment horizontal="center" vertical="center" wrapText="1"/>
    </xf>
    <xf numFmtId="0" fontId="21" fillId="0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center" vertical="center" wrapText="1"/>
    </xf>
    <xf numFmtId="0" fontId="24" fillId="2" borderId="0" applyAlignment="1" pivotButton="0" quotePrefix="0" xfId="0">
      <alignment horizontal="right" vertical="center" wrapText="1"/>
    </xf>
    <xf numFmtId="0" fontId="0" fillId="2" borderId="0" pivotButton="0" quotePrefix="0" xfId="0"/>
    <xf numFmtId="0" fontId="25" fillId="0" borderId="1" applyAlignment="1" pivotButton="0" quotePrefix="0" xfId="0">
      <alignment horizontal="left" vertical="center" wrapText="1"/>
    </xf>
    <xf numFmtId="0" fontId="26" fillId="0" borderId="1" applyAlignment="1" pivotButton="0" quotePrefix="0" xfId="0">
      <alignment horizontal="left" vertical="center" wrapText="1"/>
    </xf>
    <xf numFmtId="0" fontId="25" fillId="5" borderId="1" applyAlignment="1" pivotButton="0" quotePrefix="0" xfId="0">
      <alignment horizontal="left" vertical="center" wrapText="1"/>
    </xf>
    <xf numFmtId="0" fontId="12" fillId="0" borderId="0" pivotButton="0" quotePrefix="0" xfId="0"/>
    <xf numFmtId="0" fontId="12" fillId="2" borderId="0" pivotButton="0" quotePrefix="0" xfId="0"/>
    <xf numFmtId="0" fontId="27" fillId="4" borderId="0" applyAlignment="1" pivotButton="0" quotePrefix="0" xfId="0">
      <alignment horizontal="left" vertical="center" wrapText="1"/>
    </xf>
    <xf numFmtId="0" fontId="27" fillId="4" borderId="0" applyAlignment="1" pivotButton="0" quotePrefix="0" xfId="0">
      <alignment horizontal="right" vertical="center" wrapText="1"/>
    </xf>
    <xf numFmtId="0" fontId="21" fillId="0" borderId="0" applyAlignment="1" pivotButton="0" quotePrefix="0" xfId="0">
      <alignment horizontal="left" vertical="center" wrapText="1"/>
    </xf>
    <xf numFmtId="0" fontId="28" fillId="0" borderId="0" pivotButton="0" quotePrefix="0" xfId="0"/>
    <xf numFmtId="164" fontId="0" fillId="0" borderId="0" pivotButton="0" quotePrefix="0" xfId="0"/>
    <xf numFmtId="165" fontId="0" fillId="0" borderId="0" applyAlignment="1" pivotButton="0" quotePrefix="0" xfId="0">
      <alignment vertical="center"/>
    </xf>
    <xf numFmtId="165" fontId="0" fillId="0" borderId="0" pivotButton="0" quotePrefix="0" xfId="0"/>
    <xf numFmtId="166" fontId="0" fillId="0" borderId="0" pivotButton="0" quotePrefix="0" xfId="0"/>
    <xf numFmtId="166" fontId="0" fillId="0" borderId="0" applyAlignment="1" pivotButton="0" quotePrefix="0" xfId="0">
      <alignment vertical="center"/>
    </xf>
    <xf numFmtId="166" fontId="21" fillId="0" borderId="1" applyAlignment="1" pivotButton="0" quotePrefix="0" xfId="0">
      <alignment horizontal="right" vertical="center" wrapText="1"/>
    </xf>
    <xf numFmtId="0" fontId="29" fillId="0" borderId="0" pivotButton="0" quotePrefix="0" xfId="0"/>
    <xf numFmtId="0" fontId="5" fillId="2" borderId="0" applyAlignment="1" pivotButton="0" quotePrefix="0" xfId="0">
      <alignment vertical="center"/>
    </xf>
    <xf numFmtId="165" fontId="5" fillId="0" borderId="0" applyAlignment="1" pivotButton="0" quotePrefix="0" xfId="0">
      <alignment vertical="center"/>
    </xf>
    <xf numFmtId="165" fontId="21" fillId="0" borderId="1" applyAlignment="1" pivotButton="0" quotePrefix="0" xfId="0">
      <alignment horizontal="right" vertical="center" wrapText="1"/>
    </xf>
    <xf numFmtId="0" fontId="28" fillId="0" borderId="0" applyAlignment="1" pivotButton="0" quotePrefix="0" xfId="0">
      <alignment horizontal="right"/>
    </xf>
    <xf numFmtId="0" fontId="34" fillId="0" borderId="1" applyAlignment="1" pivotButton="0" quotePrefix="0" xfId="0">
      <alignment horizontal="right" vertical="center" wrapText="1"/>
    </xf>
    <xf numFmtId="0" fontId="24" fillId="0" borderId="0" applyAlignment="1" pivotButton="0" quotePrefix="0" xfId="0">
      <alignment horizontal="left" vertical="center" wrapText="1"/>
    </xf>
    <xf numFmtId="0" fontId="21" fillId="2" borderId="1" applyAlignment="1" pivotButton="0" quotePrefix="0" xfId="0">
      <alignment horizontal="right" vertical="center" wrapText="1"/>
    </xf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37" fillId="0" borderId="0" applyAlignment="1" pivotButton="0" quotePrefix="0" xfId="0">
      <alignment vertical="center"/>
    </xf>
    <xf numFmtId="0" fontId="38" fillId="0" borderId="0" applyAlignment="1" pivotButton="0" quotePrefix="0" xfId="0">
      <alignment vertical="center"/>
    </xf>
    <xf numFmtId="166" fontId="21" fillId="0" borderId="1" applyAlignment="1" pivotButton="0" quotePrefix="0" xfId="0">
      <alignment horizontal="right" vertical="center" wrapText="1"/>
    </xf>
    <xf numFmtId="166" fontId="0" fillId="0" borderId="0" applyAlignment="1" pivotButton="0" quotePrefix="0" xfId="0">
      <alignment vertical="center"/>
    </xf>
    <xf numFmtId="165" fontId="5" fillId="0" borderId="0" applyAlignment="1" pivotButton="0" quotePrefix="0" xfId="0">
      <alignment vertical="center"/>
    </xf>
    <xf numFmtId="165" fontId="21" fillId="0" borderId="1" applyAlignment="1" pivotButton="0" quotePrefix="0" xfId="0">
      <alignment horizontal="right" vertical="center" wrapText="1"/>
    </xf>
    <xf numFmtId="165" fontId="0" fillId="0" borderId="0" applyAlignment="1" pivotButton="0" quotePrefix="0" xfId="0">
      <alignment vertical="center"/>
    </xf>
    <xf numFmtId="165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0" fontId="39" fillId="6" borderId="0" applyAlignment="1" pivotButton="0" quotePrefix="0" xfId="0">
      <alignment horizontal="left" vertical="center" indent="1"/>
    </xf>
    <xf numFmtId="0" fontId="40" fillId="0" borderId="0" applyAlignment="1" pivotButton="0" quotePrefix="0" xfId="0">
      <alignment horizontal="left" vertical="center" indent="1"/>
    </xf>
    <xf numFmtId="0" fontId="41" fillId="7" borderId="0" applyAlignment="1" pivotButton="0" quotePrefix="0" xfId="0">
      <alignment horizontal="left" vertical="center" indent="1"/>
    </xf>
    <xf numFmtId="0" fontId="42" fillId="8" borderId="2" applyAlignment="1" pivotButton="0" quotePrefix="0" xfId="0">
      <alignment horizontal="center" vertical="center" wrapText="1"/>
    </xf>
    <xf numFmtId="0" fontId="43" fillId="0" borderId="2" applyAlignment="1" pivotButton="0" quotePrefix="0" xfId="0">
      <alignment horizontal="left" vertical="top" wrapText="1"/>
    </xf>
    <xf numFmtId="0" fontId="43" fillId="9" borderId="2" applyAlignment="1" pivotButton="0" quotePrefix="0" xfId="0">
      <alignment horizontal="left" vertical="top" wrapText="1"/>
    </xf>
    <xf numFmtId="0" fontId="43" fillId="0" borderId="2" applyAlignment="1" pivotButton="0" quotePrefix="0" xfId="0">
      <alignment horizontal="left" vertical="center"/>
    </xf>
    <xf numFmtId="0" fontId="43" fillId="0" borderId="2" applyAlignment="1" pivotButton="0" quotePrefix="0" xfId="0">
      <alignment horizontal="left" vertical="center" wrapText="1"/>
    </xf>
    <xf numFmtId="0" fontId="43" fillId="0" borderId="2" pivotButton="0" quotePrefix="0" xfId="0"/>
    <xf numFmtId="0" fontId="43" fillId="9" borderId="2" applyAlignment="1" pivotButton="0" quotePrefix="0" xfId="0">
      <alignment horizontal="left" vertical="center"/>
    </xf>
    <xf numFmtId="0" fontId="43" fillId="9" borderId="2" applyAlignment="1" pivotButton="0" quotePrefix="0" xfId="0">
      <alignment horizontal="left" vertical="center" wrapText="1"/>
    </xf>
    <xf numFmtId="0" fontId="43" fillId="9" borderId="2" pivotButton="0" quotePrefix="0" xfId="0"/>
    <xf numFmtId="0" fontId="44" fillId="0" borderId="2" applyAlignment="1" pivotButton="0" quotePrefix="0" xfId="0">
      <alignment horizontal="left" vertical="center"/>
    </xf>
    <xf numFmtId="0" fontId="45" fillId="9" borderId="2" applyAlignment="1" pivotButton="0" quotePrefix="0" xfId="0">
      <alignment horizontal="left" vertical="center"/>
    </xf>
    <xf numFmtId="0" fontId="46" fillId="0" borderId="2" applyAlignment="1" pivotButton="0" quotePrefix="0" xfId="0">
      <alignment horizontal="left" vertical="center"/>
    </xf>
    <xf numFmtId="0" fontId="45" fillId="0" borderId="2" applyAlignment="1" pivotButton="0" quotePrefix="0" xfId="0">
      <alignment horizontal="left" vertical="center"/>
    </xf>
    <xf numFmtId="0" fontId="43" fillId="0" borderId="2" applyAlignment="1" pivotButton="0" quotePrefix="0" xfId="0">
      <alignment horizontal="center" vertical="center"/>
    </xf>
    <xf numFmtId="0" fontId="43" fillId="9" borderId="2" applyAlignment="1" pivotButton="0" quotePrefix="0" xfId="0">
      <alignment horizontal="center" vertical="center"/>
    </xf>
    <xf numFmtId="1" fontId="43" fillId="0" borderId="2" applyAlignment="1" pivotButton="0" quotePrefix="0" xfId="0">
      <alignment horizontal="center" vertical="center"/>
    </xf>
    <xf numFmtId="167" fontId="43" fillId="0" borderId="2" applyAlignment="1" pivotButton="0" quotePrefix="0" xfId="0">
      <alignment horizontal="center" vertical="center"/>
    </xf>
    <xf numFmtId="167" fontId="46" fillId="0" borderId="2" applyAlignment="1" pivotButton="0" quotePrefix="0" xfId="0">
      <alignment horizontal="center" vertical="center"/>
    </xf>
    <xf numFmtId="168" fontId="43" fillId="0" borderId="2" applyAlignment="1" pivotButton="0" quotePrefix="0" xfId="0">
      <alignment horizontal="center" vertical="center"/>
    </xf>
    <xf numFmtId="169" fontId="43" fillId="0" borderId="2" applyAlignment="1" pivotButton="0" quotePrefix="0" xfId="0">
      <alignment horizontal="center" vertical="center"/>
    </xf>
    <xf numFmtId="0" fontId="46" fillId="0" borderId="2" applyAlignment="1" pivotButton="0" quotePrefix="0" xfId="0">
      <alignment horizontal="center" vertical="center"/>
    </xf>
    <xf numFmtId="1" fontId="43" fillId="9" borderId="2" applyAlignment="1" pivotButton="0" quotePrefix="0" xfId="0">
      <alignment horizontal="center" vertical="center"/>
    </xf>
    <xf numFmtId="167" fontId="43" fillId="9" borderId="2" applyAlignment="1" pivotButton="0" quotePrefix="0" xfId="0">
      <alignment horizontal="center" vertical="center"/>
    </xf>
    <xf numFmtId="167" fontId="46" fillId="9" borderId="2" applyAlignment="1" pivotButton="0" quotePrefix="0" xfId="0">
      <alignment horizontal="center" vertical="center"/>
    </xf>
    <xf numFmtId="168" fontId="43" fillId="9" borderId="2" applyAlignment="1" pivotButton="0" quotePrefix="0" xfId="0">
      <alignment horizontal="center" vertical="center"/>
    </xf>
    <xf numFmtId="169" fontId="43" fillId="9" borderId="2" applyAlignment="1" pivotButton="0" quotePrefix="0" xfId="0">
      <alignment horizontal="center" vertical="center"/>
    </xf>
    <xf numFmtId="0" fontId="46" fillId="9" borderId="2" applyAlignment="1" pivotButton="0" quotePrefix="0" xfId="0">
      <alignment horizontal="center" vertical="center"/>
    </xf>
    <xf numFmtId="167" fontId="45" fillId="0" borderId="2" applyAlignment="1" pivotButton="0" quotePrefix="0" xfId="0">
      <alignment horizontal="center" vertical="center"/>
    </xf>
    <xf numFmtId="0" fontId="45" fillId="0" borderId="2" applyAlignment="1" pivotButton="0" quotePrefix="0" xfId="0">
      <alignment horizontal="center" vertical="center"/>
    </xf>
    <xf numFmtId="0" fontId="47" fillId="10" borderId="2" applyAlignment="1" pivotButton="0" quotePrefix="0" xfId="0">
      <alignment horizontal="left" vertical="center"/>
    </xf>
    <xf numFmtId="1" fontId="47" fillId="10" borderId="2" applyAlignment="1" pivotButton="0" quotePrefix="0" xfId="0">
      <alignment horizontal="left" vertical="center"/>
    </xf>
    <xf numFmtId="167" fontId="47" fillId="10" borderId="2" applyAlignment="1" pivotButton="0" quotePrefix="0" xfId="0">
      <alignment horizontal="center" vertical="center"/>
    </xf>
    <xf numFmtId="167" fontId="46" fillId="10" borderId="2" applyAlignment="1" pivotButton="0" quotePrefix="0" xfId="0">
      <alignment horizontal="center" vertical="center"/>
    </xf>
    <xf numFmtId="0" fontId="47" fillId="10" borderId="2" applyAlignment="1" pivotButton="0" quotePrefix="0" xfId="0">
      <alignment horizontal="center" vertical="center"/>
    </xf>
    <xf numFmtId="168" fontId="47" fillId="10" borderId="2" applyAlignment="1" pivotButton="0" quotePrefix="0" xfId="0">
      <alignment horizontal="center" vertical="center"/>
    </xf>
    <xf numFmtId="169" fontId="47" fillId="10" borderId="2" applyAlignment="1" pivotButton="0" quotePrefix="0" xfId="0">
      <alignment horizontal="center" vertical="center"/>
    </xf>
    <xf numFmtId="0" fontId="43" fillId="0" borderId="0" applyAlignment="1" pivotButton="0" quotePrefix="0" xfId="0">
      <alignment horizontal="left" vertical="center" indent="1"/>
    </xf>
    <xf numFmtId="1" fontId="47" fillId="10" borderId="2" applyAlignment="1" pivotButton="0" quotePrefix="0" xfId="0">
      <alignment horizontal="center" vertical="center"/>
    </xf>
    <xf numFmtId="0" fontId="47" fillId="11" borderId="2" applyAlignment="1" pivotButton="0" quotePrefix="0" xfId="0">
      <alignment horizontal="left" vertical="center"/>
    </xf>
    <xf numFmtId="1" fontId="47" fillId="11" borderId="2" applyAlignment="1" pivotButton="0" quotePrefix="0" xfId="0">
      <alignment horizontal="center" vertical="center"/>
    </xf>
    <xf numFmtId="167" fontId="47" fillId="11" borderId="2" applyAlignment="1" pivotButton="0" quotePrefix="0" xfId="0">
      <alignment horizontal="center" vertical="center"/>
    </xf>
    <xf numFmtId="0" fontId="47" fillId="11" borderId="2" applyAlignment="1" pivotButton="0" quotePrefix="0" xfId="0">
      <alignment horizontal="center" vertical="center"/>
    </xf>
    <xf numFmtId="169" fontId="47" fillId="11" borderId="2" applyAlignment="1" pivotButton="0" quotePrefix="0" xfId="0">
      <alignment horizontal="center" vertical="center"/>
    </xf>
    <xf numFmtId="1" fontId="47" fillId="11" borderId="2" applyAlignment="1" pivotButton="0" quotePrefix="0" xfId="0">
      <alignment horizontal="lef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topLeftCell="I1" workbookViewId="0">
      <selection activeCell="G15" sqref="G15"/>
    </sheetView>
  </sheetViews>
  <sheetFormatPr baseColWidth="8" defaultRowHeight="14"/>
  <cols>
    <col width="11.4140625" customWidth="1" style="76" min="1" max="1"/>
    <col width="8.6640625" customWidth="1" style="76" min="2" max="2"/>
    <col width="11.25" customWidth="1" style="76" min="3" max="3"/>
    <col width="8.6640625" customWidth="1" style="76" min="4" max="4"/>
    <col width="12.25" customWidth="1" style="76" min="5" max="5"/>
    <col width="10.4140625" customWidth="1" style="76" min="6" max="6"/>
    <col width="10.75" customWidth="1" style="76" min="7" max="7"/>
    <col width="10.33203125" customWidth="1" style="76" min="8" max="9"/>
    <col width="15.5" customWidth="1" style="77" min="10" max="10"/>
    <col width="16.75" customWidth="1" style="77" min="11" max="11"/>
    <col width="22.1640625" customWidth="1" style="77" min="12" max="12"/>
    <col width="19" customWidth="1" style="77" min="13" max="13"/>
    <col width="23.25" customWidth="1" style="77" min="14" max="14"/>
    <col width="19" customWidth="1" style="77" min="15" max="15"/>
    <col width="22.25" customWidth="1" style="77" min="16" max="16"/>
    <col width="16.75" customWidth="1" style="77" min="17" max="17"/>
    <col width="16.75" customWidth="1" style="4" min="18" max="18"/>
    <col width="16.75" customWidth="1" style="77" min="19" max="19"/>
    <col width="16.75" customWidth="1" style="76" min="20" max="20"/>
    <col width="16.08203125" customWidth="1" style="76" min="21" max="21"/>
    <col width="16.75" customWidth="1" style="76" min="22" max="23"/>
  </cols>
  <sheetData>
    <row r="1">
      <c r="A1" s="76" t="inlineStr">
        <is>
          <t>dataset</t>
        </is>
      </c>
      <c r="B1" s="76" t="inlineStr">
        <is>
          <t>slice</t>
        </is>
      </c>
      <c r="C1" s="76" t="inlineStr">
        <is>
          <t>LOO_mean</t>
        </is>
      </c>
      <c r="D1" s="76" t="inlineStr">
        <is>
          <t>LOO_std</t>
        </is>
      </c>
      <c r="E1" s="76" t="inlineStr">
        <is>
          <t>Single_mean</t>
        </is>
      </c>
      <c r="F1" s="76" t="inlineStr">
        <is>
          <t>Single_std</t>
        </is>
      </c>
      <c r="G1" s="76" t="inlineStr">
        <is>
          <t>PCA_mean</t>
        </is>
      </c>
      <c r="H1" s="76" t="inlineStr">
        <is>
          <t>PCA_std</t>
        </is>
      </c>
      <c r="I1" s="5" t="inlineStr">
        <is>
          <t>r</t>
        </is>
      </c>
      <c r="J1" s="76" t="inlineStr">
        <is>
          <t>e=0.02585</t>
        </is>
      </c>
      <c r="K1" s="2" t="inlineStr">
        <is>
          <t>90%CI</t>
        </is>
      </c>
      <c r="L1" s="2" t="inlineStr">
        <is>
          <t>Transfer Category (90%CI)</t>
        </is>
      </c>
      <c r="M1" s="6" t="inlineStr">
        <is>
          <t>95%CI</t>
        </is>
      </c>
      <c r="N1" s="6" t="inlineStr">
        <is>
          <t>Transfer Category (95%CI)</t>
        </is>
      </c>
      <c r="O1" s="9" t="inlineStr">
        <is>
          <t>[-0.0388, 0.0388]</t>
        </is>
      </c>
      <c r="P1" s="6" t="inlineStr">
        <is>
          <t>Transfer Category (95%CI)</t>
        </is>
      </c>
      <c r="Q1" s="6" t="inlineStr">
        <is>
          <t>Evidence</t>
        </is>
      </c>
      <c r="R1" s="3" t="inlineStr">
        <is>
          <t>是否等效迁移</t>
        </is>
      </c>
      <c r="T1" s="76" t="inlineStr">
        <is>
          <t>ci_90_low</t>
        </is>
      </c>
      <c r="U1" s="76" t="inlineStr">
        <is>
          <t>ci_90_high</t>
        </is>
      </c>
      <c r="V1" s="76" t="inlineStr">
        <is>
          <t>ci_95_low</t>
        </is>
      </c>
      <c r="W1" s="76" t="inlineStr">
        <is>
          <t>ci_95_high</t>
        </is>
      </c>
    </row>
    <row r="2">
      <c r="A2" s="76" t="inlineStr">
        <is>
          <t>Breast_Cancer</t>
        </is>
      </c>
      <c r="C2" s="76" t="n">
        <v>0.69703</v>
      </c>
      <c r="D2" s="76" t="n">
        <v>0.056</v>
      </c>
      <c r="E2" s="76" t="n">
        <v>0.74397</v>
      </c>
      <c r="F2" s="76" t="n">
        <v>0.0306</v>
      </c>
      <c r="G2" s="76" t="n">
        <v>0.57872</v>
      </c>
      <c r="H2" s="76" t="n">
        <v>0.0104</v>
      </c>
      <c r="I2" s="2">
        <f>C2-E2</f>
        <v/>
      </c>
      <c r="J2" s="8" t="inlineStr">
        <is>
          <t>[-0.0517,0.0517]</t>
        </is>
      </c>
      <c r="K2" t="inlineStr">
        <is>
          <t>[-0.0812, -0.0111]</t>
        </is>
      </c>
      <c r="L2" t="inlineStr">
        <is>
          <t>ET (Torward UI)</t>
        </is>
      </c>
      <c r="M2" t="inlineStr">
        <is>
          <t>[-0.0875, -0.0045]</t>
        </is>
      </c>
      <c r="N2" t="inlineStr">
        <is>
          <t>ET (Toward UI)</t>
        </is>
      </c>
      <c r="P2" t="inlineStr">
        <is>
          <t>UI (P)</t>
        </is>
      </c>
      <c r="R2" s="4">
        <f>IF(AND(I2&gt;$J$5, I2&lt;$J$6),"Yes")</f>
        <v/>
      </c>
      <c r="S2" t="inlineStr">
        <is>
          <t>有价值但不充分</t>
        </is>
      </c>
      <c r="T2" s="76" t="n">
        <v>-0.081184486182187</v>
      </c>
      <c r="U2" s="76" t="n">
        <v>-0.0111420502278438</v>
      </c>
      <c r="V2" s="76" t="n">
        <v>-0.08753</v>
      </c>
      <c r="W2" s="76" t="n">
        <v>-0.0045178806880511</v>
      </c>
    </row>
    <row r="3">
      <c r="A3" s="76" t="inlineStr">
        <is>
          <t>DLPFC</t>
        </is>
      </c>
      <c r="B3" s="76" t="n">
        <v>151507</v>
      </c>
      <c r="C3" s="76" t="n">
        <v>0.65298</v>
      </c>
      <c r="D3" s="76" t="n">
        <v>0.0511</v>
      </c>
      <c r="E3" s="76" t="n">
        <v>0.65303</v>
      </c>
      <c r="F3" s="76" t="n">
        <v>0.0293</v>
      </c>
      <c r="G3" s="76" t="n">
        <v>0.262339999999999</v>
      </c>
      <c r="H3" s="76" t="n">
        <v>0.014</v>
      </c>
      <c r="I3" s="2">
        <f>C3-E3</f>
        <v/>
      </c>
      <c r="J3" s="76" t="n">
        <v>-0.0517</v>
      </c>
      <c r="K3" s="76" t="inlineStr">
        <is>
          <t>[-0.0301, 0.0262]</t>
        </is>
      </c>
      <c r="L3" s="76" t="inlineStr">
        <is>
          <t>ET (P)</t>
        </is>
      </c>
      <c r="M3" t="inlineStr">
        <is>
          <t>[-0.035, 0.0307]</t>
        </is>
      </c>
      <c r="N3" s="76" t="inlineStr">
        <is>
          <t>ET (P)</t>
        </is>
      </c>
      <c r="P3" s="76" t="inlineStr">
        <is>
          <t>ET (P)</t>
        </is>
      </c>
      <c r="Q3" s="7" t="inlineStr">
        <is>
          <t>P</t>
        </is>
      </c>
      <c r="R3" s="4">
        <f>IF(AND(I3&gt;$J$5, I3&lt;$J$6),"Yes")</f>
        <v/>
      </c>
      <c r="T3" s="76" t="n">
        <v>-0.0301251464730816</v>
      </c>
      <c r="U3" s="76" t="n">
        <v>0.02619</v>
      </c>
      <c r="V3" s="76" t="n">
        <v>-0.0349999999999999</v>
      </c>
      <c r="W3" s="76" t="n">
        <v>0.0307225564111367</v>
      </c>
    </row>
    <row r="4">
      <c r="A4" s="76" t="inlineStr">
        <is>
          <t>DLPFC</t>
        </is>
      </c>
      <c r="B4" s="76" t="n">
        <v>151508</v>
      </c>
      <c r="C4" s="76" t="n">
        <v>0.648</v>
      </c>
      <c r="D4" s="76" t="n">
        <v>0.0557</v>
      </c>
      <c r="E4" s="76" t="n">
        <v>0.66198</v>
      </c>
      <c r="F4" s="76" t="n">
        <v>0.0235</v>
      </c>
      <c r="G4" s="76" t="n">
        <v>0.25924</v>
      </c>
      <c r="H4" s="76" t="n">
        <v>0.0114</v>
      </c>
      <c r="I4" s="2">
        <f>C4-E4</f>
        <v/>
      </c>
      <c r="J4" s="76" t="n">
        <v>0.0517</v>
      </c>
      <c r="K4" s="76" t="inlineStr">
        <is>
          <t>[-0.0461, 0.0124]</t>
        </is>
      </c>
      <c r="L4" s="76" t="inlineStr">
        <is>
          <t>ET (P)</t>
        </is>
      </c>
      <c r="M4" t="inlineStr">
        <is>
          <t>[-0.0528, 0.0171]</t>
        </is>
      </c>
      <c r="N4" s="76" t="inlineStr">
        <is>
          <t>ET (Toward UI)</t>
        </is>
      </c>
      <c r="P4" s="76" t="inlineStr">
        <is>
          <t>ET (Toward UI)</t>
        </is>
      </c>
      <c r="Q4" s="76" t="inlineStr">
        <is>
          <t>?</t>
        </is>
      </c>
      <c r="R4" s="4">
        <f>IF(AND(I4&gt;$J$5, I4&lt;$J$6),"Yes")</f>
        <v/>
      </c>
      <c r="T4" s="76" t="n">
        <v>-0.0460727291405284</v>
      </c>
      <c r="U4" s="76" t="n">
        <v>0.0123619613701364</v>
      </c>
      <c r="V4" s="76" t="n">
        <v>-0.0528083276383053</v>
      </c>
      <c r="W4" s="76" t="n">
        <v>0.0170536209186653</v>
      </c>
    </row>
    <row r="5">
      <c r="A5" s="76" t="inlineStr">
        <is>
          <t>DLPFC</t>
        </is>
      </c>
      <c r="B5" s="76" t="n">
        <v>151509</v>
      </c>
      <c r="C5" s="76" t="n">
        <v>0.63197</v>
      </c>
      <c r="D5" s="76" t="n">
        <v>0.0586</v>
      </c>
      <c r="E5" s="76" t="n">
        <v>0.76701</v>
      </c>
      <c r="F5" s="76" t="n">
        <v>0.0181</v>
      </c>
      <c r="G5" s="76" t="n">
        <v>0.36773</v>
      </c>
      <c r="H5" s="76" t="n">
        <v>0.0143</v>
      </c>
      <c r="I5" s="2">
        <f>C5-E5</f>
        <v/>
      </c>
      <c r="J5" s="76" t="n">
        <v>-0.038775</v>
      </c>
      <c r="K5" s="76" t="inlineStr">
        <is>
          <t>[-0.1644, -0.1063]</t>
        </is>
      </c>
      <c r="L5" s="76" t="inlineStr">
        <is>
          <t>UI (P)</t>
        </is>
      </c>
      <c r="M5" t="inlineStr">
        <is>
          <t>[-0.1703, -0.1010]</t>
        </is>
      </c>
      <c r="N5" s="76" t="inlineStr">
        <is>
          <t>UI (P)</t>
        </is>
      </c>
      <c r="P5" s="76" t="inlineStr">
        <is>
          <t>UI (P)</t>
        </is>
      </c>
      <c r="R5" s="4">
        <f>IF(AND(I5&gt;$J$5, I5&lt;$J$6),"Yes")</f>
        <v/>
      </c>
      <c r="S5" t="inlineStr">
        <is>
          <t>有价值但不充分</t>
        </is>
      </c>
      <c r="T5" s="76" t="n">
        <v>-0.16438</v>
      </c>
      <c r="U5" s="76" t="n">
        <v>-0.10625337419535</v>
      </c>
      <c r="V5" s="76" t="n">
        <v>-0.170309556739068</v>
      </c>
      <c r="W5" s="76" t="n">
        <v>-0.101010176907908</v>
      </c>
    </row>
    <row r="6">
      <c r="A6" s="2" t="inlineStr">
        <is>
          <t>DLPFC</t>
        </is>
      </c>
      <c r="B6" s="2" t="n">
        <v>151510</v>
      </c>
      <c r="C6" s="76" t="n">
        <v>0.57695</v>
      </c>
      <c r="D6" s="76" t="n">
        <v>0.1061</v>
      </c>
      <c r="E6" s="76" t="n">
        <v>0.695979999999999</v>
      </c>
      <c r="F6" s="76" t="n">
        <v>0.0202</v>
      </c>
      <c r="G6" s="76" t="n">
        <v>0.31992</v>
      </c>
      <c r="H6" s="76" t="n">
        <v>0.0176</v>
      </c>
      <c r="I6" s="2">
        <f>C6-E6</f>
        <v/>
      </c>
      <c r="J6" s="76" t="n">
        <v>0.038775</v>
      </c>
      <c r="K6" s="76" t="inlineStr">
        <is>
          <t>[-0.1687, -0.0686]</t>
        </is>
      </c>
      <c r="L6" s="76" t="inlineStr">
        <is>
          <t>UI (P)</t>
        </is>
      </c>
      <c r="M6" t="inlineStr">
        <is>
          <t>[-0.1776, -0.0601]</t>
        </is>
      </c>
      <c r="N6" s="76" t="inlineStr">
        <is>
          <t>UI (P)</t>
        </is>
      </c>
      <c r="P6" s="76" t="inlineStr">
        <is>
          <t>UI (P)</t>
        </is>
      </c>
      <c r="R6" s="4">
        <f>IF(AND(I6&gt;$J$5, I6&lt;$J$6),"Yes")</f>
        <v/>
      </c>
      <c r="S6" t="inlineStr">
        <is>
          <t>有价值但不充分</t>
        </is>
      </c>
      <c r="T6" s="76" t="n">
        <v>-0.168659999999999</v>
      </c>
      <c r="U6" s="76" t="n">
        <v>-0.06861148184369489</v>
      </c>
      <c r="V6" s="76" t="n">
        <v>-0.177560019796257</v>
      </c>
      <c r="W6" s="76" t="n">
        <v>-0.06005</v>
      </c>
    </row>
    <row r="7">
      <c r="A7" s="76" t="inlineStr">
        <is>
          <t>DLPFC</t>
        </is>
      </c>
      <c r="B7" s="76" t="n">
        <v>151669</v>
      </c>
      <c r="C7" s="76" t="n">
        <v>0.8080000000000001</v>
      </c>
      <c r="D7" s="76" t="n">
        <v>0.0437</v>
      </c>
      <c r="E7" s="76" t="n">
        <v>0.88301</v>
      </c>
      <c r="F7" s="76" t="n">
        <v>0.0142</v>
      </c>
      <c r="G7" s="76" t="n">
        <v>0.46674</v>
      </c>
      <c r="H7" s="76" t="n">
        <v>0.0134</v>
      </c>
      <c r="I7" s="2">
        <f>C7-E7</f>
        <v/>
      </c>
      <c r="J7" s="9" t="inlineStr">
        <is>
          <t>[-0.0388, 0.0388]</t>
        </is>
      </c>
      <c r="K7" s="76" t="inlineStr">
        <is>
          <t>[-0.0997, -0.0555]</t>
        </is>
      </c>
      <c r="L7" s="76" t="inlineStr">
        <is>
          <t>UI (P)</t>
        </is>
      </c>
      <c r="M7" t="inlineStr">
        <is>
          <t>[-0.1051, -0.0521]</t>
        </is>
      </c>
      <c r="N7" s="76" t="inlineStr">
        <is>
          <t>UI (P)</t>
        </is>
      </c>
      <c r="P7" s="76" t="inlineStr">
        <is>
          <t>UI (P)</t>
        </is>
      </c>
      <c r="R7" s="4">
        <f>IF(AND(I7&gt;$J$5, I7&lt;$J$6),"Yes")</f>
        <v/>
      </c>
      <c r="S7" t="inlineStr">
        <is>
          <t>有价值但不充分</t>
        </is>
      </c>
      <c r="T7" s="76" t="n">
        <v>-0.0996599999999999</v>
      </c>
      <c r="U7" s="76" t="n">
        <v>-0.0554531534954916</v>
      </c>
      <c r="V7" s="76" t="n">
        <v>-0.105079999999999</v>
      </c>
      <c r="W7" s="76" t="n">
        <v>-0.0521</v>
      </c>
    </row>
    <row r="8">
      <c r="A8" s="76" t="inlineStr">
        <is>
          <t>DLPFC</t>
        </is>
      </c>
      <c r="B8" s="76" t="n">
        <v>151670</v>
      </c>
      <c r="C8" s="76" t="n">
        <v>0.837</v>
      </c>
      <c r="D8" s="76" t="n">
        <v>0.0558</v>
      </c>
      <c r="E8" s="76" t="n">
        <v>0.82504</v>
      </c>
      <c r="F8" s="76" t="n">
        <v>0.0257</v>
      </c>
      <c r="G8" s="76" t="n">
        <v>0.44059</v>
      </c>
      <c r="H8" s="76" t="n">
        <v>0.0295</v>
      </c>
      <c r="I8" s="2">
        <f>C8-E8</f>
        <v/>
      </c>
      <c r="K8" s="76" t="inlineStr">
        <is>
          <t>[-0.0185, 0.0376]</t>
        </is>
      </c>
      <c r="L8" s="76" t="inlineStr">
        <is>
          <t>ET (P)</t>
        </is>
      </c>
      <c r="M8" t="inlineStr">
        <is>
          <t>[-0.0245, 0.0417]</t>
        </is>
      </c>
      <c r="N8" s="76" t="inlineStr">
        <is>
          <t>ET (P)</t>
        </is>
      </c>
      <c r="P8" s="76" t="inlineStr">
        <is>
          <t>ET (Toward PT)</t>
        </is>
      </c>
      <c r="Q8" s="76" t="inlineStr">
        <is>
          <t>****</t>
        </is>
      </c>
      <c r="R8" s="4">
        <f>IF(AND(I8&gt;$J$5, I8&lt;$J$6),"Yes")</f>
        <v/>
      </c>
      <c r="T8" s="76" t="n">
        <v>-0.0184670718892318</v>
      </c>
      <c r="U8" s="76" t="n">
        <v>0.0376070527728941</v>
      </c>
      <c r="V8" s="76" t="n">
        <v>-0.0244801987747434</v>
      </c>
      <c r="W8" s="76" t="n">
        <v>0.0416627335589723</v>
      </c>
    </row>
    <row r="9">
      <c r="A9" s="76" t="inlineStr">
        <is>
          <t>DLPFC</t>
        </is>
      </c>
      <c r="B9" s="76" t="n">
        <v>151671</v>
      </c>
      <c r="C9" s="76" t="n">
        <v>0.82996</v>
      </c>
      <c r="D9" s="76" t="n">
        <v>0.0544</v>
      </c>
      <c r="E9" s="76" t="n">
        <v>0.836019999999999</v>
      </c>
      <c r="F9" s="76" t="n">
        <v>0.0125</v>
      </c>
      <c r="G9" s="76" t="n">
        <v>0.37905</v>
      </c>
      <c r="H9" s="76" t="n">
        <v>0.0285</v>
      </c>
      <c r="I9" s="2">
        <f>C9-E9</f>
        <v/>
      </c>
      <c r="K9" s="76" t="inlineStr">
        <is>
          <t>[-0.0347, 0.0157]</t>
        </is>
      </c>
      <c r="L9" s="76" t="inlineStr">
        <is>
          <t>ET (P)</t>
        </is>
      </c>
      <c r="M9" t="inlineStr">
        <is>
          <t>[-0.0404, 0.0192]</t>
        </is>
      </c>
      <c r="N9" s="76" t="inlineStr">
        <is>
          <t>ET (P)</t>
        </is>
      </c>
      <c r="P9" s="76" t="inlineStr">
        <is>
          <t>ET (Toward UI)</t>
        </is>
      </c>
      <c r="Q9" s="76" t="inlineStr">
        <is>
          <t>?</t>
        </is>
      </c>
      <c r="R9" s="4">
        <f>IF(AND(I9&gt;$J$5, I9&lt;$J$6),"Yes")</f>
        <v/>
      </c>
      <c r="T9" s="76" t="n">
        <v>-0.0346921906151105</v>
      </c>
      <c r="U9" s="76" t="n">
        <v>0.01573</v>
      </c>
      <c r="V9" s="76" t="n">
        <v>-0.0403899807632854</v>
      </c>
      <c r="W9" s="76" t="n">
        <v>0.01916</v>
      </c>
    </row>
    <row r="10">
      <c r="A10" s="76" t="inlineStr">
        <is>
          <t>DLPFC</t>
        </is>
      </c>
      <c r="B10" s="76" t="n">
        <v>151672</v>
      </c>
      <c r="C10" s="76" t="n">
        <v>0.73395</v>
      </c>
      <c r="D10" s="76" t="n">
        <v>0.0243</v>
      </c>
      <c r="E10" s="76" t="n">
        <v>0.751989999999999</v>
      </c>
      <c r="F10" s="76" t="n">
        <v>0.0129</v>
      </c>
      <c r="G10" s="76" t="n">
        <v>0.27896</v>
      </c>
      <c r="H10" s="76" t="n">
        <v>0.0158</v>
      </c>
      <c r="I10" s="2">
        <f>C10-E10</f>
        <v/>
      </c>
      <c r="K10" s="76" t="inlineStr">
        <is>
          <t>[-0.0315,-0.0029]</t>
        </is>
      </c>
      <c r="L10" s="76" t="inlineStr">
        <is>
          <t>ET (P)</t>
        </is>
      </c>
      <c r="M10" t="inlineStr">
        <is>
          <t>[-0.0341, -0.0002]</t>
        </is>
      </c>
      <c r="N10" s="76" t="inlineStr">
        <is>
          <t>ET (P)</t>
        </is>
      </c>
      <c r="P10" s="76" t="inlineStr">
        <is>
          <t>ET (P)</t>
        </is>
      </c>
      <c r="Q10" s="7" t="inlineStr">
        <is>
          <t>P</t>
        </is>
      </c>
      <c r="R10" s="4">
        <f>IF(AND(I10&gt;$J$5, I10&lt;$J$6),"Yes")</f>
        <v/>
      </c>
      <c r="T10" s="76" t="n">
        <v>-0.0315</v>
      </c>
      <c r="U10" s="76" t="n">
        <v>-0.00291191344203957</v>
      </c>
      <c r="V10" s="76" t="n">
        <v>-0.0340667315186151</v>
      </c>
      <c r="W10" s="76" t="n">
        <v>-0.000172862293764963</v>
      </c>
    </row>
    <row r="11">
      <c r="A11" s="76" t="inlineStr">
        <is>
          <t>DLPFC</t>
        </is>
      </c>
      <c r="B11" s="76" t="n">
        <v>151673</v>
      </c>
      <c r="C11" s="76" t="n">
        <v>0.713</v>
      </c>
      <c r="D11" s="76" t="n">
        <v>0.0663</v>
      </c>
      <c r="E11" s="76" t="n">
        <v>0.67797</v>
      </c>
      <c r="F11" s="76" t="n">
        <v>0.0218</v>
      </c>
      <c r="G11" s="76" t="n">
        <v>0.28034</v>
      </c>
      <c r="H11" s="76" t="n">
        <v>0.0108</v>
      </c>
      <c r="I11" s="2">
        <f>C11-E11</f>
        <v/>
      </c>
      <c r="K11" s="76" t="inlineStr">
        <is>
          <t>[-0.0023, 0.0621]</t>
        </is>
      </c>
      <c r="L11" s="76" t="inlineStr">
        <is>
          <t>ET (Torward PT)</t>
        </is>
      </c>
      <c r="M11" t="inlineStr">
        <is>
          <t>[-0.0104, 0.0663]</t>
        </is>
      </c>
      <c r="N11" s="76" t="inlineStr">
        <is>
          <t>ET (Torward PT)</t>
        </is>
      </c>
      <c r="P11" s="76" t="inlineStr">
        <is>
          <t>ET (Toward PT)</t>
        </is>
      </c>
      <c r="Q11" s="76" t="inlineStr">
        <is>
          <t>****</t>
        </is>
      </c>
      <c r="R11" s="4">
        <f>IF(AND(I11&gt;$J$5, I11&lt;$J$6),"Yes")</f>
        <v/>
      </c>
      <c r="T11" s="76" t="n">
        <v>-0.00233352183919366</v>
      </c>
      <c r="U11" s="76" t="n">
        <v>0.06214</v>
      </c>
      <c r="V11" s="76" t="n">
        <v>-0.0104445756974744</v>
      </c>
      <c r="W11" s="76" t="n">
        <v>0.06632</v>
      </c>
    </row>
    <row r="12">
      <c r="A12" s="76" t="inlineStr">
        <is>
          <t>DLPFC</t>
        </is>
      </c>
      <c r="B12" s="76" t="n">
        <v>151674</v>
      </c>
      <c r="C12" s="76" t="n">
        <v>0.67604</v>
      </c>
      <c r="D12" s="76" t="n">
        <v>0.0525</v>
      </c>
      <c r="E12" s="76" t="n">
        <v>0.67298</v>
      </c>
      <c r="F12" s="76" t="n">
        <v>0.0352</v>
      </c>
      <c r="G12" s="76" t="n">
        <v>0.31327</v>
      </c>
      <c r="H12" s="76" t="n">
        <v>0.0119</v>
      </c>
      <c r="I12" s="2">
        <f>C12-E12</f>
        <v/>
      </c>
      <c r="K12" s="76" t="inlineStr">
        <is>
          <t>[-0.0431, 0.0297]</t>
        </is>
      </c>
      <c r="L12" s="76" t="inlineStr">
        <is>
          <t>ET (P)</t>
        </is>
      </c>
      <c r="M12" t="inlineStr">
        <is>
          <t>[-0.0548, 0.0337]</t>
        </is>
      </c>
      <c r="N12" s="76" t="inlineStr">
        <is>
          <t>ET (Toward UI)</t>
        </is>
      </c>
      <c r="P12" s="76" t="inlineStr">
        <is>
          <t>ET (Toward UI)</t>
        </is>
      </c>
      <c r="Q12" s="76" t="inlineStr">
        <is>
          <t>?</t>
        </is>
      </c>
      <c r="R12" s="4">
        <f>IF(AND(I12&gt;$J$5, I12&lt;$J$6),"Yes")</f>
        <v/>
      </c>
      <c r="T12" s="76" t="n">
        <v>-0.0430720758789095</v>
      </c>
      <c r="U12" s="76" t="n">
        <v>0.0296517014745455</v>
      </c>
      <c r="V12" s="76" t="n">
        <v>-0.0547724034476666</v>
      </c>
      <c r="W12" s="76" t="n">
        <v>0.03371</v>
      </c>
    </row>
    <row r="13">
      <c r="A13" s="76" t="inlineStr">
        <is>
          <t>DLPFC</t>
        </is>
      </c>
      <c r="B13" s="76" t="n">
        <v>151675</v>
      </c>
      <c r="C13" s="76" t="n">
        <v>0.62096</v>
      </c>
      <c r="D13" s="76" t="n">
        <v>0.0294</v>
      </c>
      <c r="E13" s="76" t="n">
        <v>0.72299</v>
      </c>
      <c r="F13" s="76" t="n">
        <v>0.0278</v>
      </c>
      <c r="G13" s="76" t="n">
        <v>0.2734</v>
      </c>
      <c r="H13" s="76" t="n">
        <v>0.0158</v>
      </c>
      <c r="I13" s="2">
        <f>C13-E13</f>
        <v/>
      </c>
      <c r="K13" s="76" t="inlineStr">
        <is>
          <t>[-0.1286, -0.0839]</t>
        </is>
      </c>
      <c r="L13" s="76" t="inlineStr">
        <is>
          <t>UI (P)</t>
        </is>
      </c>
      <c r="M13" t="inlineStr">
        <is>
          <t>[-0.1343, -0.0807]</t>
        </is>
      </c>
      <c r="N13" s="76" t="inlineStr">
        <is>
          <t>UI (P)</t>
        </is>
      </c>
      <c r="P13" s="76" t="inlineStr">
        <is>
          <t>UI (P)</t>
        </is>
      </c>
      <c r="R13" s="4">
        <f>IF(AND(I13&gt;$J$5, I13&lt;$J$6),"Yes")</f>
        <v/>
      </c>
      <c r="S13" t="inlineStr">
        <is>
          <t>有价值但不充分</t>
        </is>
      </c>
      <c r="T13" s="76" t="n">
        <v>-0.128584302998647</v>
      </c>
      <c r="U13" s="76" t="n">
        <v>-0.0839386113733547</v>
      </c>
      <c r="V13" s="76" t="n">
        <v>-0.134253275078746</v>
      </c>
      <c r="W13" s="76" t="n">
        <v>-0.0807399999999999</v>
      </c>
    </row>
    <row r="14">
      <c r="A14" s="76" t="inlineStr">
        <is>
          <t>DLPFC</t>
        </is>
      </c>
      <c r="B14" s="76" t="n">
        <v>151676</v>
      </c>
      <c r="C14" s="76" t="n">
        <v>0.629</v>
      </c>
      <c r="D14" s="76" t="n">
        <v>0.0264</v>
      </c>
      <c r="E14" s="76" t="n">
        <v>0.69101</v>
      </c>
      <c r="F14" s="76" t="n">
        <v>0.0376</v>
      </c>
      <c r="G14" s="76" t="n">
        <v>0.222449999999999</v>
      </c>
      <c r="H14" s="76" t="n">
        <v>0.0182</v>
      </c>
      <c r="I14" s="2">
        <f>C14-E14</f>
        <v/>
      </c>
      <c r="K14" s="76" t="inlineStr">
        <is>
          <t>[-0.0755, -0.0407]</t>
        </is>
      </c>
      <c r="L14" s="76" t="inlineStr">
        <is>
          <t>UI (Toward ET)</t>
        </is>
      </c>
      <c r="M14" t="inlineStr">
        <is>
          <t>[-0.0776, -0.0351]</t>
        </is>
      </c>
      <c r="N14" s="76" t="inlineStr">
        <is>
          <t>UI (Toward ET)</t>
        </is>
      </c>
      <c r="P14" s="76" t="inlineStr">
        <is>
          <t>UI (P)</t>
        </is>
      </c>
      <c r="R14" s="4">
        <f>IF(AND(I14&gt;$J$5, I14&lt;$J$6),"Yes")</f>
        <v/>
      </c>
      <c r="S14" t="inlineStr">
        <is>
          <t>有价值但不充分</t>
        </is>
      </c>
      <c r="T14" s="76" t="n">
        <v>-0.075498013190806</v>
      </c>
      <c r="U14" s="76" t="n">
        <v>-0.040654145955638</v>
      </c>
      <c r="V14" s="76" t="n">
        <v>-0.07754999999999999</v>
      </c>
      <c r="W14" s="76" t="n">
        <v>-0.0351101920617742</v>
      </c>
    </row>
    <row r="15">
      <c r="A15" s="76" t="inlineStr">
        <is>
          <t>MERFISH</t>
        </is>
      </c>
      <c r="C15" s="76" t="n">
        <v>0.77899</v>
      </c>
      <c r="D15" s="76" t="n">
        <v>0.0401</v>
      </c>
      <c r="E15" s="76" t="n">
        <v>0.66896</v>
      </c>
      <c r="F15" s="76" t="n">
        <v>0.06320000000000001</v>
      </c>
      <c r="G15" s="76" t="n">
        <v>0.16396</v>
      </c>
      <c r="H15" s="76" t="n">
        <v>0.0091</v>
      </c>
      <c r="I15" s="2">
        <f>C15-E15</f>
        <v/>
      </c>
      <c r="K15" s="76" t="inlineStr">
        <is>
          <t>[0.0663, 0.1472]</t>
        </is>
      </c>
      <c r="L15" s="76" t="inlineStr">
        <is>
          <t>PT (P)</t>
        </is>
      </c>
      <c r="M15" t="inlineStr">
        <is>
          <t>[0.0567, 0.1529]</t>
        </is>
      </c>
      <c r="N15" s="76" t="inlineStr">
        <is>
          <t>PT (P)</t>
        </is>
      </c>
      <c r="P15" s="76" t="inlineStr">
        <is>
          <t>PT (P)</t>
        </is>
      </c>
      <c r="Q15" s="7" t="inlineStr">
        <is>
          <t>P</t>
        </is>
      </c>
      <c r="R15" s="4">
        <f>IF(AND(I15&gt;$J$5, I15&lt;$J$6),"Yes")</f>
        <v/>
      </c>
      <c r="S15" t="inlineStr">
        <is>
          <t>正向迁移</t>
        </is>
      </c>
      <c r="T15" s="76" t="n">
        <v>0.0662843808403193</v>
      </c>
      <c r="U15" s="76" t="n">
        <v>0.147229999999999</v>
      </c>
      <c r="V15" s="76" t="n">
        <v>0.0566739038814881</v>
      </c>
      <c r="W15" s="76" t="n">
        <v>0.15293587173221</v>
      </c>
    </row>
    <row r="16">
      <c r="A16" s="2" t="inlineStr">
        <is>
          <t>MERFISH_frontal_cortex</t>
        </is>
      </c>
      <c r="B16" s="2" t="inlineStr">
        <is>
          <t>4_0</t>
        </is>
      </c>
      <c r="C16" s="76" t="n">
        <v>0.61298</v>
      </c>
      <c r="D16" s="76" t="n">
        <v>0.1186</v>
      </c>
      <c r="E16" s="76" t="n">
        <v>0.77096</v>
      </c>
      <c r="F16" s="76" t="n">
        <v>0.0242</v>
      </c>
      <c r="G16" s="76" t="n">
        <v>0.29259</v>
      </c>
      <c r="H16" s="76" t="n">
        <v>0.0225</v>
      </c>
      <c r="I16" s="2">
        <f>C16-E16</f>
        <v/>
      </c>
      <c r="K16" s="76" t="inlineStr">
        <is>
          <t>[-0.2494, -0.1182]</t>
        </is>
      </c>
      <c r="L16" s="76" t="inlineStr">
        <is>
          <t>UI (P)</t>
        </is>
      </c>
      <c r="M16" t="inlineStr">
        <is>
          <t>[-0.2721, -0.1143]</t>
        </is>
      </c>
      <c r="N16" s="76" t="inlineStr">
        <is>
          <t>UI (P)</t>
        </is>
      </c>
      <c r="P16" s="76" t="inlineStr">
        <is>
          <t>UI (P)</t>
        </is>
      </c>
      <c r="R16" s="4">
        <f>IF(AND(I16&gt;$J$5, I16&lt;$J$6),"Yes")</f>
        <v/>
      </c>
      <c r="S16" t="inlineStr">
        <is>
          <t>有价值但不充分</t>
        </is>
      </c>
      <c r="T16" s="76" t="n">
        <v>-0.24941399405759</v>
      </c>
      <c r="U16" s="76" t="n">
        <v>-0.118149999999999</v>
      </c>
      <c r="V16" s="76" t="n">
        <v>-0.272074478560523</v>
      </c>
      <c r="W16" s="76" t="n">
        <v>-0.114289999999999</v>
      </c>
    </row>
    <row r="17">
      <c r="A17" s="76" t="inlineStr">
        <is>
          <t>MERFISH_frontal_cortex</t>
        </is>
      </c>
      <c r="B17" s="76" t="inlineStr">
        <is>
          <t>4_1</t>
        </is>
      </c>
      <c r="C17" s="76" t="n">
        <v>0.86895</v>
      </c>
      <c r="D17" s="76" t="n">
        <v>0.0499</v>
      </c>
      <c r="E17" s="76" t="n">
        <v>0.84597</v>
      </c>
      <c r="F17" s="76" t="n">
        <v>0.0131</v>
      </c>
      <c r="G17" s="76" t="n">
        <v>0.48547</v>
      </c>
      <c r="H17" s="76" t="n">
        <v>0.0132</v>
      </c>
      <c r="I17" s="2">
        <f>C17-E17</f>
        <v/>
      </c>
      <c r="K17" s="76" t="inlineStr">
        <is>
          <t>[0.0053, 0.0489]</t>
        </is>
      </c>
      <c r="L17" s="76" t="inlineStr">
        <is>
          <t>ET (P)</t>
        </is>
      </c>
      <c r="M17" t="inlineStr">
        <is>
          <t>[0.0025, 0.0545]</t>
        </is>
      </c>
      <c r="N17" s="76" t="inlineStr">
        <is>
          <t>ET (Toward PT)</t>
        </is>
      </c>
      <c r="P17" s="76" t="inlineStr">
        <is>
          <t>ET (Toward PT)</t>
        </is>
      </c>
      <c r="Q17" s="76" t="inlineStr">
        <is>
          <t>****</t>
        </is>
      </c>
      <c r="R17" s="4">
        <f>IF(AND(I17&gt;$J$5, I17&lt;$J$6),"Yes")</f>
        <v/>
      </c>
      <c r="T17" s="76" t="n">
        <v>0.00530000000000001</v>
      </c>
      <c r="U17" s="76" t="n">
        <v>0.0489266595263606</v>
      </c>
      <c r="V17" s="76" t="n">
        <v>0.00251524345032583</v>
      </c>
      <c r="W17" s="76" t="n">
        <v>0.0545301680337173</v>
      </c>
    </row>
    <row r="18">
      <c r="A18" s="76" t="inlineStr">
        <is>
          <t>MERFISH_frontal_cortex</t>
        </is>
      </c>
      <c r="B18" s="76" t="inlineStr">
        <is>
          <t>4_2</t>
        </is>
      </c>
      <c r="C18" s="76" t="n">
        <v>0.79702</v>
      </c>
      <c r="D18" s="76" t="n">
        <v>0.0184</v>
      </c>
      <c r="E18" s="76" t="n">
        <v>0.771019999999999</v>
      </c>
      <c r="F18" s="76" t="n">
        <v>0.0343</v>
      </c>
      <c r="G18" s="76" t="n">
        <v>0.48646</v>
      </c>
      <c r="H18" s="76" t="n">
        <v>0.0098</v>
      </c>
      <c r="I18" s="2">
        <f>C18-E18</f>
        <v/>
      </c>
      <c r="K18" s="76" t="inlineStr">
        <is>
          <t>[0.0071, 0.0451]</t>
        </is>
      </c>
      <c r="L18" s="76" t="inlineStr">
        <is>
          <t>ET (P)</t>
        </is>
      </c>
      <c r="M18" t="inlineStr">
        <is>
          <t>[0.0036, 0.0493]</t>
        </is>
      </c>
      <c r="N18" s="76" t="inlineStr">
        <is>
          <t>ET (P)</t>
        </is>
      </c>
      <c r="P18" s="76" t="inlineStr">
        <is>
          <t>ET (Toward PT)</t>
        </is>
      </c>
      <c r="Q18" s="76" t="inlineStr">
        <is>
          <t>****</t>
        </is>
      </c>
      <c r="R18" s="4">
        <f>IF(AND(I18&gt;$J$5, I18&lt;$J$6),"Yes")</f>
        <v/>
      </c>
      <c r="T18" s="76" t="n">
        <v>0.00709318636062099</v>
      </c>
      <c r="U18" s="76" t="n">
        <v>0.0450790782291374</v>
      </c>
      <c r="V18" s="76" t="n">
        <v>0.00359555554907485</v>
      </c>
      <c r="W18" s="76" t="n">
        <v>0.0492638106371321</v>
      </c>
    </row>
    <row r="19">
      <c r="A19" s="76" t="inlineStr">
        <is>
          <t>MERFISH_frontal_cortex</t>
        </is>
      </c>
      <c r="B19" s="76" t="inlineStr">
        <is>
          <t>6_0</t>
        </is>
      </c>
      <c r="C19" s="76" t="n">
        <v>0.646</v>
      </c>
      <c r="D19" s="76" t="n">
        <v>0.0276</v>
      </c>
      <c r="E19" s="76" t="n">
        <v>0.738</v>
      </c>
      <c r="F19" s="76" t="n">
        <v>0.0297</v>
      </c>
      <c r="G19" s="76" t="n">
        <v>0.24293</v>
      </c>
      <c r="H19" s="76" t="n">
        <v>0.0147</v>
      </c>
      <c r="I19" s="2">
        <f>C19-E19</f>
        <v/>
      </c>
      <c r="K19" s="76" t="inlineStr">
        <is>
          <t>[-0.1145, -0.0603]</t>
        </is>
      </c>
      <c r="L19" s="76" t="inlineStr">
        <is>
          <t>UI (P)</t>
        </is>
      </c>
      <c r="M19" t="inlineStr">
        <is>
          <t>[-0.1186, -0.0535]</t>
        </is>
      </c>
      <c r="N19" s="76" t="inlineStr">
        <is>
          <t>UI (P)</t>
        </is>
      </c>
      <c r="P19" s="76" t="inlineStr">
        <is>
          <t>UI (P)</t>
        </is>
      </c>
      <c r="R19" s="4">
        <f>IF(AND(I19&gt;$J$5, I19&lt;$J$6),"Yes")</f>
        <v/>
      </c>
      <c r="S19" t="inlineStr">
        <is>
          <t>有价值但不充分</t>
        </is>
      </c>
      <c r="T19" s="76" t="n">
        <v>-0.11451</v>
      </c>
      <c r="U19" s="76" t="n">
        <v>-0.0602558441566422</v>
      </c>
      <c r="V19" s="76" t="n">
        <v>-0.118619999999999</v>
      </c>
      <c r="W19" s="76" t="n">
        <v>-0.0534599243340492</v>
      </c>
    </row>
    <row r="20">
      <c r="A20" s="76" t="inlineStr">
        <is>
          <t>MERFISH_frontal_cortex</t>
        </is>
      </c>
      <c r="B20" s="76" t="inlineStr">
        <is>
          <t>6_1</t>
        </is>
      </c>
      <c r="C20" s="76" t="n">
        <v>0.75302</v>
      </c>
      <c r="D20" s="76" t="n">
        <v>0.0267</v>
      </c>
      <c r="E20" s="76" t="n">
        <v>0.8390299999999991</v>
      </c>
      <c r="F20" s="76" t="n">
        <v>0.0315</v>
      </c>
      <c r="G20" s="76" t="n">
        <v>0.44179</v>
      </c>
      <c r="H20" s="76" t="n">
        <v>0.0136</v>
      </c>
      <c r="I20" s="2">
        <f>C20-E20</f>
        <v/>
      </c>
      <c r="K20" s="76" t="inlineStr">
        <is>
          <t>[-0.1034, -0.0706]</t>
        </is>
      </c>
      <c r="L20" s="76" t="inlineStr">
        <is>
          <t>UI (P)</t>
        </is>
      </c>
      <c r="M20" t="inlineStr">
        <is>
          <t>[-0.1065, -0.0677]</t>
        </is>
      </c>
      <c r="N20" s="76" t="inlineStr">
        <is>
          <t>UI (P)</t>
        </is>
      </c>
      <c r="P20" s="76" t="inlineStr">
        <is>
          <t>UI (P)</t>
        </is>
      </c>
      <c r="R20" s="4">
        <f>IF(AND(I20&gt;$J$5, I20&lt;$J$6),"Yes")</f>
        <v/>
      </c>
      <c r="S20" t="inlineStr">
        <is>
          <t>有价值但不充分</t>
        </is>
      </c>
      <c r="T20" s="76" t="n">
        <v>-0.103434538709662</v>
      </c>
      <c r="U20" s="76" t="n">
        <v>-0.07058</v>
      </c>
      <c r="V20" s="76" t="n">
        <v>-0.106482544787941</v>
      </c>
      <c r="W20" s="76" t="n">
        <v>-0.0676514575128988</v>
      </c>
    </row>
    <row r="21">
      <c r="A21" s="76" t="inlineStr">
        <is>
          <t>MERFISH_frontal_cortex</t>
        </is>
      </c>
      <c r="B21" s="76" t="inlineStr">
        <is>
          <t>6_2</t>
        </is>
      </c>
      <c r="C21" s="76" t="n">
        <v>0.67398</v>
      </c>
      <c r="D21" s="76" t="n">
        <v>0.0261</v>
      </c>
      <c r="E21" s="76" t="n">
        <v>0.757</v>
      </c>
      <c r="F21" s="76" t="n">
        <v>0.0092</v>
      </c>
      <c r="G21" s="76" t="n">
        <v>0.35279</v>
      </c>
      <c r="H21" s="76" t="n">
        <v>0.013</v>
      </c>
      <c r="I21" s="2">
        <f>C21-E21</f>
        <v/>
      </c>
      <c r="K21" s="76" t="inlineStr">
        <is>
          <t>[-0.0948, -0.0678]</t>
        </is>
      </c>
      <c r="L21" s="76" t="inlineStr">
        <is>
          <t>UI (P)</t>
        </is>
      </c>
      <c r="M21" t="inlineStr">
        <is>
          <t>[-0.0971, -0.0647]</t>
        </is>
      </c>
      <c r="N21" s="76" t="inlineStr">
        <is>
          <t>UI (P)</t>
        </is>
      </c>
      <c r="P21" s="76" t="inlineStr">
        <is>
          <t>UI (P)</t>
        </is>
      </c>
      <c r="R21" s="4">
        <f>IF(AND(I21&gt;$J$5, I21&lt;$J$6),"Yes")</f>
        <v/>
      </c>
      <c r="S21" t="inlineStr">
        <is>
          <t>有价值但不充分</t>
        </is>
      </c>
      <c r="T21" s="76" t="n">
        <v>-0.0948</v>
      </c>
      <c r="U21" s="76" t="n">
        <v>-0.06783</v>
      </c>
      <c r="V21" s="76" t="n">
        <v>-0.0970956050199839</v>
      </c>
      <c r="W21" s="76" t="n">
        <v>-0.0646937741688251</v>
      </c>
    </row>
    <row r="22">
      <c r="A22" s="76" t="inlineStr">
        <is>
          <t>MERFISH_frontal_cortex</t>
        </is>
      </c>
      <c r="B22" s="76" t="inlineStr">
        <is>
          <t>8_0</t>
        </is>
      </c>
      <c r="C22" s="76" t="n">
        <v>0.89201</v>
      </c>
      <c r="D22" s="76" t="n">
        <v>0.0156</v>
      </c>
      <c r="E22" s="76" t="n">
        <v>0.892019999999999</v>
      </c>
      <c r="F22" s="76" t="n">
        <v>0.026</v>
      </c>
      <c r="G22" s="76" t="n">
        <v>0.52938</v>
      </c>
      <c r="H22" s="76" t="n">
        <v>0.0057</v>
      </c>
      <c r="I22" s="2">
        <f>C22-E22</f>
        <v/>
      </c>
      <c r="K22" s="76" t="inlineStr">
        <is>
          <t>[-0.0168, 0.0142]</t>
        </is>
      </c>
      <c r="L22" s="76" t="inlineStr">
        <is>
          <t>ET (P)</t>
        </is>
      </c>
      <c r="M22" t="inlineStr">
        <is>
          <t>[-0.0201, 0.0167]</t>
        </is>
      </c>
      <c r="N22" s="76" t="inlineStr">
        <is>
          <t>ET (P)</t>
        </is>
      </c>
      <c r="P22" s="76" t="inlineStr">
        <is>
          <t>ET (P)</t>
        </is>
      </c>
      <c r="Q22" s="7" t="inlineStr">
        <is>
          <t>P</t>
        </is>
      </c>
      <c r="R22" s="4">
        <f>IF(AND(I22&gt;$J$5, I22&lt;$J$6),"Yes")</f>
        <v/>
      </c>
      <c r="T22" s="76" t="n">
        <v>-0.0167760438711966</v>
      </c>
      <c r="U22" s="76" t="n">
        <v>0.0142170520673082</v>
      </c>
      <c r="V22" s="76" t="n">
        <v>-0.02012</v>
      </c>
      <c r="W22" s="76" t="n">
        <v>0.01668</v>
      </c>
    </row>
    <row r="23">
      <c r="A23" s="76" t="inlineStr">
        <is>
          <t>MERFISH_frontal_cortex</t>
        </is>
      </c>
      <c r="B23" s="76" t="inlineStr">
        <is>
          <t>8_1</t>
        </is>
      </c>
      <c r="C23" s="76" t="n">
        <v>0.70701</v>
      </c>
      <c r="D23" s="76" t="n">
        <v>0.0373</v>
      </c>
      <c r="E23" s="76" t="n">
        <v>0.72104</v>
      </c>
      <c r="F23" s="76" t="n">
        <v>0.0466</v>
      </c>
      <c r="G23" s="76" t="n">
        <v>0.42932</v>
      </c>
      <c r="H23" s="76" t="n">
        <v>0.0153</v>
      </c>
      <c r="I23" s="2">
        <f>C23-E23</f>
        <v/>
      </c>
      <c r="K23" s="76" t="inlineStr">
        <is>
          <t>[-0.0344, 0.0010]</t>
        </is>
      </c>
      <c r="L23" s="76" t="inlineStr">
        <is>
          <t>ET (P)</t>
        </is>
      </c>
      <c r="M23" t="inlineStr">
        <is>
          <t>[-0.0381, 0.0147]</t>
        </is>
      </c>
      <c r="N23" s="76" t="inlineStr">
        <is>
          <t>ET (P)</t>
        </is>
      </c>
      <c r="P23" s="76" t="inlineStr">
        <is>
          <t>ET (P)</t>
        </is>
      </c>
      <c r="Q23" s="7" t="inlineStr">
        <is>
          <t>P</t>
        </is>
      </c>
      <c r="R23" s="4">
        <f>IF(AND(I23&gt;$J$5, I23&lt;$J$6),"Yes")</f>
        <v/>
      </c>
      <c r="T23" s="76" t="n">
        <v>-0.0344410923076064</v>
      </c>
      <c r="U23" s="76" t="n">
        <v>0.00996771449726243</v>
      </c>
      <c r="V23" s="76" t="n">
        <v>-0.0380608905933984</v>
      </c>
      <c r="W23" s="76" t="n">
        <v>0.0146822545176458</v>
      </c>
    </row>
    <row r="24">
      <c r="A24" s="76" t="inlineStr">
        <is>
          <t>MERFISH_frontal_cortex</t>
        </is>
      </c>
      <c r="B24" s="76" t="inlineStr">
        <is>
          <t>8_2</t>
        </is>
      </c>
      <c r="C24" s="76" t="n">
        <v>0.77996</v>
      </c>
      <c r="D24" s="76" t="n">
        <v>0.0149</v>
      </c>
      <c r="E24" s="76" t="n">
        <v>0.81296</v>
      </c>
      <c r="F24" s="76" t="n">
        <v>0.0126</v>
      </c>
      <c r="G24" s="76" t="n">
        <v>0.41933</v>
      </c>
      <c r="H24" s="76" t="n">
        <v>0.0104</v>
      </c>
      <c r="I24" s="2">
        <f>C24-E24</f>
        <v/>
      </c>
      <c r="K24" s="76" t="inlineStr">
        <is>
          <t>[-0.0433, -0.0230]</t>
        </is>
      </c>
      <c r="L24" s="76" t="inlineStr">
        <is>
          <t>ET (P)</t>
        </is>
      </c>
      <c r="M24" t="inlineStr">
        <is>
          <t>[-0.0450, -0.0213]</t>
        </is>
      </c>
      <c r="N24" s="76" t="inlineStr">
        <is>
          <t>ET (P)</t>
        </is>
      </c>
      <c r="P24" s="76" t="inlineStr">
        <is>
          <t>ET (Toward UI)</t>
        </is>
      </c>
      <c r="Q24" s="76" t="inlineStr">
        <is>
          <t>?</t>
        </is>
      </c>
      <c r="R24" s="4">
        <f>IF(AND(I24&gt;$J$5, I24&lt;$J$6),"Yes")</f>
        <v/>
      </c>
      <c r="T24" s="76" t="n">
        <v>-0.04333</v>
      </c>
      <c r="U24" s="76" t="n">
        <v>-0.0230126712402023</v>
      </c>
      <c r="V24" s="76" t="n">
        <v>-0.0450434609535798</v>
      </c>
      <c r="W24" s="76" t="n">
        <v>-0.0212999999999999</v>
      </c>
    </row>
    <row r="25">
      <c r="A25" s="76" t="inlineStr">
        <is>
          <t>Mouse_anterior_brain</t>
        </is>
      </c>
      <c r="C25" s="76" t="n">
        <v>0.5460199999999999</v>
      </c>
      <c r="D25" s="76" t="n">
        <v>0.0418</v>
      </c>
      <c r="E25" s="76" t="n">
        <v>0.57004</v>
      </c>
      <c r="F25" s="76" t="n">
        <v>0.0376</v>
      </c>
      <c r="G25" s="76" t="n">
        <v>0.4203</v>
      </c>
      <c r="H25" s="76" t="n">
        <v>0.0138</v>
      </c>
      <c r="I25" s="2">
        <f>C25-E25</f>
        <v/>
      </c>
      <c r="K25" s="76" t="inlineStr">
        <is>
          <t>[-0.0538, -0.0031]</t>
        </is>
      </c>
      <c r="L25" s="76" t="inlineStr">
        <is>
          <t>ET (Toward UI)</t>
        </is>
      </c>
      <c r="M25" t="inlineStr">
        <is>
          <t>[-0.0594, 0.0006]</t>
        </is>
      </c>
      <c r="N25" s="76" t="inlineStr">
        <is>
          <t>ET (Toward UI)</t>
        </is>
      </c>
      <c r="P25" s="76" t="inlineStr">
        <is>
          <t>ET (Toward UI)</t>
        </is>
      </c>
      <c r="Q25" s="76" t="inlineStr">
        <is>
          <t>?</t>
        </is>
      </c>
      <c r="R25" s="4">
        <f>IF(AND(I25&gt;$J$5, I25&lt;$J$6),"Yes")</f>
        <v/>
      </c>
      <c r="T25" s="76" t="n">
        <v>-0.0538453839539414</v>
      </c>
      <c r="U25" s="76" t="n">
        <v>-0.00312999999999999</v>
      </c>
      <c r="V25" s="76" t="n">
        <v>-0.05944</v>
      </c>
      <c r="W25" s="76" t="n">
        <v>0.000580033974788229</v>
      </c>
    </row>
    <row r="26">
      <c r="A26" s="76" t="inlineStr">
        <is>
          <t>STARmap</t>
        </is>
      </c>
      <c r="C26" s="76" t="n">
        <v>0.8799899999999991</v>
      </c>
      <c r="D26" s="76" t="n">
        <v>0.0679</v>
      </c>
      <c r="E26" s="76" t="n">
        <v>0.89203</v>
      </c>
      <c r="F26" s="76" t="n">
        <v>0.0246</v>
      </c>
      <c r="G26" s="76" t="n">
        <v>0.06991</v>
      </c>
      <c r="H26" s="76" t="n">
        <v>0.0192</v>
      </c>
      <c r="I26" s="2">
        <f>C26-E26</f>
        <v/>
      </c>
      <c r="K26" s="76" t="inlineStr">
        <is>
          <t>[-0.0247, 0.0277]</t>
        </is>
      </c>
      <c r="L26" s="76" t="inlineStr">
        <is>
          <t>ET (P)</t>
        </is>
      </c>
      <c r="M26" t="inlineStr">
        <is>
          <t>[-0.0281, 0.0346]</t>
        </is>
      </c>
      <c r="N26" s="76" t="inlineStr">
        <is>
          <t>ET (P)</t>
        </is>
      </c>
      <c r="P26" s="76" t="inlineStr">
        <is>
          <t>ET (P)</t>
        </is>
      </c>
      <c r="Q26" s="7" t="inlineStr">
        <is>
          <t>P</t>
        </is>
      </c>
      <c r="R26" s="4">
        <f>IF(AND(I26&gt;$J$5, I26&lt;$J$6),"Yes")</f>
        <v/>
      </c>
      <c r="T26" s="76" t="n">
        <v>-0.0246893597643864</v>
      </c>
      <c r="U26" s="76" t="n">
        <v>0.0276702387073486</v>
      </c>
      <c r="V26" s="76" t="n">
        <v>-0.0281088953944983</v>
      </c>
      <c r="W26" s="76" t="n">
        <v>0.0346406038471651</v>
      </c>
    </row>
    <row r="27">
      <c r="A27" s="76" t="inlineStr">
        <is>
          <t>osmFISH</t>
        </is>
      </c>
      <c r="C27" s="76" t="n">
        <v>0.43296</v>
      </c>
      <c r="D27" s="76" t="n">
        <v>0.0183</v>
      </c>
      <c r="E27" s="76" t="n">
        <v>0.43605</v>
      </c>
      <c r="F27" s="76" t="n">
        <v>0.0461</v>
      </c>
      <c r="G27" s="76" t="n">
        <v>0.19213</v>
      </c>
      <c r="H27" s="76" t="n">
        <v>0.014</v>
      </c>
      <c r="I27" s="2">
        <f>C27-E27</f>
        <v/>
      </c>
      <c r="K27" s="76" t="inlineStr">
        <is>
          <t>[-0.0413, 0.0217]</t>
        </is>
      </c>
      <c r="L27" s="76" t="inlineStr">
        <is>
          <t>ET (P)</t>
        </is>
      </c>
      <c r="M27" t="inlineStr">
        <is>
          <t>[-0.0455, 0.0296]</t>
        </is>
      </c>
      <c r="N27" s="76" t="inlineStr">
        <is>
          <t>ET (P)</t>
        </is>
      </c>
      <c r="P27" s="76" t="inlineStr">
        <is>
          <t>ET (Toward UI)</t>
        </is>
      </c>
      <c r="Q27" s="76" t="inlineStr">
        <is>
          <t>?</t>
        </is>
      </c>
      <c r="R27" s="4">
        <f>IF(AND(I27&gt;$J$5, I27&lt;$J$6),"Yes")</f>
        <v/>
      </c>
      <c r="T27" s="76" t="n">
        <v>-0.04131</v>
      </c>
      <c r="U27" s="76" t="n">
        <v>0.0217299999999999</v>
      </c>
      <c r="V27" s="76" t="n">
        <v>-0.0455053379066849</v>
      </c>
      <c r="W27" s="76" t="n">
        <v>0.0296409313447247</v>
      </c>
    </row>
    <row r="28">
      <c r="R28" s="4">
        <f>COUNTIF(R2:R27,"Yes")</f>
        <v/>
      </c>
    </row>
    <row r="29">
      <c r="A29" s="78" t="inlineStr">
        <is>
          <t xml:space="preserve">   </t>
        </is>
      </c>
    </row>
    <row r="30"/>
    <row r="31"/>
    <row r="32"/>
    <row r="33"/>
    <row r="34"/>
    <row r="35"/>
    <row r="36"/>
    <row r="37"/>
    <row r="38"/>
    <row r="39"/>
    <row r="40"/>
  </sheetData>
  <mergeCells count="1">
    <mergeCell ref="A29:K4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1"/>
  <sheetViews>
    <sheetView tabSelected="1" topLeftCell="A12" workbookViewId="0">
      <selection activeCell="A22" sqref="A22:B22"/>
    </sheetView>
  </sheetViews>
  <sheetFormatPr baseColWidth="8" defaultRowHeight="14"/>
  <cols>
    <col width="11.4140625" customWidth="1" style="76" min="1" max="1"/>
    <col width="8.6640625" customWidth="1" style="76" min="2" max="2"/>
    <col width="22.1640625" customWidth="1" style="76" min="3" max="3"/>
    <col width="8.6640625" customWidth="1" style="76" min="4" max="4"/>
    <col width="12.25" customWidth="1" style="76" min="5" max="5"/>
    <col width="10.4140625" customWidth="1" style="76" min="6" max="6"/>
    <col width="12.4140625" customWidth="1" style="76" min="7" max="7"/>
    <col width="14.6640625" customWidth="1" style="76" min="8" max="8"/>
    <col width="10.33203125" customWidth="1" style="76" min="9" max="9"/>
    <col width="15.5" customWidth="1" style="77" min="10" max="10"/>
    <col width="16.75" customWidth="1" style="77" min="11" max="11"/>
    <col width="22.1640625" customWidth="1" style="77" min="12" max="12"/>
    <col width="19" customWidth="1" style="77" min="13" max="13"/>
    <col width="23.25" customWidth="1" style="77" min="14" max="14"/>
    <col width="19" customWidth="1" style="77" min="15" max="15"/>
    <col width="22.25" customWidth="1" style="77" min="16" max="16"/>
    <col width="16.75" customWidth="1" style="77" min="17" max="17"/>
    <col width="16.75" customWidth="1" style="4" min="18" max="18"/>
    <col width="16.75" customWidth="1" style="77" min="19" max="19"/>
    <col width="16.75" customWidth="1" style="76" min="20" max="20"/>
    <col width="16.08203125" customWidth="1" style="76" min="21" max="21"/>
    <col width="16.75" customWidth="1" style="76" min="22" max="23"/>
  </cols>
  <sheetData>
    <row r="1">
      <c r="A1" s="76" t="inlineStr">
        <is>
          <t>dataset</t>
        </is>
      </c>
      <c r="B1" s="76" t="inlineStr">
        <is>
          <t>slice</t>
        </is>
      </c>
      <c r="C1" s="76" t="inlineStr">
        <is>
          <t>LOO_mean</t>
        </is>
      </c>
      <c r="D1" s="76" t="inlineStr">
        <is>
          <t>LOO_std</t>
        </is>
      </c>
      <c r="E1" s="76" t="inlineStr">
        <is>
          <t>Single_mean</t>
        </is>
      </c>
      <c r="F1" s="76" t="inlineStr">
        <is>
          <t>Single_std</t>
        </is>
      </c>
      <c r="G1" s="76" t="inlineStr">
        <is>
          <t>PCA_mean</t>
        </is>
      </c>
      <c r="H1" s="76" t="inlineStr">
        <is>
          <t>PCA_std</t>
        </is>
      </c>
      <c r="I1" s="5" t="inlineStr">
        <is>
          <t>r</t>
        </is>
      </c>
      <c r="J1" s="76" t="inlineStr">
        <is>
          <t>e=0.02585</t>
        </is>
      </c>
      <c r="K1" s="2" t="inlineStr">
        <is>
          <t>90%CI</t>
        </is>
      </c>
      <c r="L1" s="2" t="inlineStr">
        <is>
          <t>Transfer Category (90%CI)</t>
        </is>
      </c>
      <c r="M1" s="6" t="inlineStr">
        <is>
          <t>95%CI</t>
        </is>
      </c>
      <c r="N1" s="6" t="inlineStr">
        <is>
          <t>Transfer Category (95%CI)</t>
        </is>
      </c>
      <c r="O1" s="9" t="inlineStr">
        <is>
          <t>[-0.0388, 0.0388]</t>
        </is>
      </c>
      <c r="P1" s="6" t="inlineStr">
        <is>
          <t>Transfer Category (95%CI)</t>
        </is>
      </c>
      <c r="Q1" s="6" t="inlineStr">
        <is>
          <t>Evidence</t>
        </is>
      </c>
      <c r="R1" s="3" t="inlineStr">
        <is>
          <t>是否等效迁移</t>
        </is>
      </c>
      <c r="T1" s="76" t="inlineStr">
        <is>
          <t>ci_90_low</t>
        </is>
      </c>
      <c r="U1" s="76" t="inlineStr">
        <is>
          <t>ci_90_high</t>
        </is>
      </c>
      <c r="V1" s="76" t="inlineStr">
        <is>
          <t>ci_95_low</t>
        </is>
      </c>
      <c r="W1" s="76" t="inlineStr">
        <is>
          <t>ci_95_high</t>
        </is>
      </c>
    </row>
    <row r="2">
      <c r="A2" s="76" t="inlineStr">
        <is>
          <t>DLPFC</t>
        </is>
      </c>
      <c r="B2" s="76" t="n">
        <v>151507</v>
      </c>
      <c r="C2" s="76" t="n">
        <v>0.65298</v>
      </c>
      <c r="D2" s="76" t="n">
        <v>0.0511</v>
      </c>
      <c r="E2" s="76" t="n">
        <v>0.65303</v>
      </c>
      <c r="F2" s="76" t="n">
        <v>0.0293</v>
      </c>
      <c r="G2" s="76" t="n">
        <v>0.262339999999999</v>
      </c>
      <c r="H2" s="76" t="n">
        <v>0.014</v>
      </c>
      <c r="I2" s="2">
        <f>C2-E2</f>
        <v/>
      </c>
      <c r="J2" s="76" t="n">
        <v>-0.0517</v>
      </c>
      <c r="K2" s="76" t="inlineStr">
        <is>
          <t>[-0.0301, 0.0262]</t>
        </is>
      </c>
      <c r="L2" s="76" t="inlineStr">
        <is>
          <t>ET (P)</t>
        </is>
      </c>
      <c r="M2" t="inlineStr">
        <is>
          <t>[-0.035, 0.0307]</t>
        </is>
      </c>
      <c r="N2" s="76" t="inlineStr">
        <is>
          <t>ET (P)</t>
        </is>
      </c>
      <c r="P2" s="76" t="inlineStr">
        <is>
          <t>ET (P)</t>
        </is>
      </c>
      <c r="Q2" s="7" t="inlineStr">
        <is>
          <t>P</t>
        </is>
      </c>
      <c r="R2" s="4">
        <f>IF(AND(I2&gt;$J$6, I2&lt;$J$7),"Yes")</f>
        <v/>
      </c>
      <c r="T2" s="76" t="n">
        <v>-0.0301251464730816</v>
      </c>
      <c r="U2" s="76" t="n">
        <v>0.02619</v>
      </c>
      <c r="V2" s="76" t="n">
        <v>-0.0349999999999999</v>
      </c>
      <c r="W2" s="76" t="n">
        <v>0.0307225564111367</v>
      </c>
    </row>
    <row r="3">
      <c r="A3" s="76" t="inlineStr">
        <is>
          <t>DLPFC</t>
        </is>
      </c>
      <c r="B3" s="76" t="n">
        <v>151508</v>
      </c>
      <c r="C3" s="76" t="n">
        <v>0.648</v>
      </c>
      <c r="D3" s="76" t="n">
        <v>0.0557</v>
      </c>
      <c r="E3" s="76" t="n">
        <v>0.66198</v>
      </c>
      <c r="F3" s="76" t="n">
        <v>0.0235</v>
      </c>
      <c r="G3" s="76" t="n">
        <v>0.25924</v>
      </c>
      <c r="H3" s="76" t="n">
        <v>0.0114</v>
      </c>
      <c r="I3" s="2">
        <f>C3-E3</f>
        <v/>
      </c>
      <c r="J3" s="76" t="n">
        <v>0.0517</v>
      </c>
      <c r="K3" s="76" t="inlineStr">
        <is>
          <t>[-0.0461, 0.0124]</t>
        </is>
      </c>
      <c r="L3" s="76" t="inlineStr">
        <is>
          <t>ET (P)</t>
        </is>
      </c>
      <c r="M3" t="inlineStr">
        <is>
          <t>[-0.0528, 0.0171]</t>
        </is>
      </c>
      <c r="N3" s="76" t="inlineStr">
        <is>
          <t>ET (Toward UI)</t>
        </is>
      </c>
      <c r="P3" s="76" t="inlineStr">
        <is>
          <t>ET (Toward UI)</t>
        </is>
      </c>
      <c r="Q3" s="76" t="inlineStr">
        <is>
          <t>?</t>
        </is>
      </c>
      <c r="R3" s="4">
        <f>IF(AND(I3&gt;$J$6, I3&lt;$J$7),"Yes")</f>
        <v/>
      </c>
      <c r="T3" s="76" t="n">
        <v>-0.0460727291405284</v>
      </c>
      <c r="U3" s="76" t="n">
        <v>0.0123619613701364</v>
      </c>
      <c r="V3" s="76" t="n">
        <v>-0.0528083276383053</v>
      </c>
      <c r="W3" s="76" t="n">
        <v>0.0170536209186653</v>
      </c>
    </row>
    <row r="4">
      <c r="A4" s="76" t="inlineStr">
        <is>
          <t>DLPFC</t>
        </is>
      </c>
      <c r="B4" s="76" t="n">
        <v>151670</v>
      </c>
      <c r="C4" s="76" t="n">
        <v>0.837</v>
      </c>
      <c r="D4" s="76" t="n">
        <v>0.0558</v>
      </c>
      <c r="E4" s="76" t="n">
        <v>0.82504</v>
      </c>
      <c r="F4" s="76" t="n">
        <v>0.0257</v>
      </c>
      <c r="G4" s="76" t="n">
        <v>0.44059</v>
      </c>
      <c r="H4" s="76" t="n">
        <v>0.0295</v>
      </c>
      <c r="I4" s="2">
        <f>C4-E4</f>
        <v/>
      </c>
      <c r="K4" s="76" t="inlineStr">
        <is>
          <t>[-0.0185, 0.0376]</t>
        </is>
      </c>
      <c r="L4" s="76" t="inlineStr">
        <is>
          <t>ET (P)</t>
        </is>
      </c>
      <c r="M4" t="inlineStr">
        <is>
          <t>[-0.0245, 0.0417]</t>
        </is>
      </c>
      <c r="N4" s="76" t="inlineStr">
        <is>
          <t>ET (P)</t>
        </is>
      </c>
      <c r="P4" s="76" t="inlineStr">
        <is>
          <t>ET (Toward PT)</t>
        </is>
      </c>
      <c r="Q4" s="76" t="inlineStr">
        <is>
          <t>****</t>
        </is>
      </c>
      <c r="R4" s="4">
        <f>IF(AND(I4&gt;$J$6, I4&lt;$J$7),"Yes")</f>
        <v/>
      </c>
      <c r="T4" s="76" t="n">
        <v>-0.0184670718892318</v>
      </c>
      <c r="U4" s="76" t="n">
        <v>0.0376070527728941</v>
      </c>
      <c r="V4" s="76" t="n">
        <v>-0.0244801987747434</v>
      </c>
      <c r="W4" s="76" t="n">
        <v>0.0416627335589723</v>
      </c>
    </row>
    <row r="5">
      <c r="A5" s="76" t="inlineStr">
        <is>
          <t>DLPFC</t>
        </is>
      </c>
      <c r="B5" s="76" t="n">
        <v>151671</v>
      </c>
      <c r="C5" s="76" t="n">
        <v>0.82996</v>
      </c>
      <c r="D5" s="76" t="n">
        <v>0.0544</v>
      </c>
      <c r="E5" s="76" t="n">
        <v>0.836019999999999</v>
      </c>
      <c r="F5" s="76" t="n">
        <v>0.0125</v>
      </c>
      <c r="G5" s="76" t="n">
        <v>0.37905</v>
      </c>
      <c r="H5" s="76" t="n">
        <v>0.0285</v>
      </c>
      <c r="I5" s="2">
        <f>C5-E5</f>
        <v/>
      </c>
      <c r="K5" s="76" t="inlineStr">
        <is>
          <t>[-0.0347, 0.0157]</t>
        </is>
      </c>
      <c r="L5" s="76" t="inlineStr">
        <is>
          <t>ET (P)</t>
        </is>
      </c>
      <c r="M5" t="inlineStr">
        <is>
          <t>[-0.0404, 0.0192]</t>
        </is>
      </c>
      <c r="N5" s="76" t="inlineStr">
        <is>
          <t>ET (P)</t>
        </is>
      </c>
      <c r="P5" s="76" t="inlineStr">
        <is>
          <t>ET (Toward UI)</t>
        </is>
      </c>
      <c r="Q5" s="76" t="inlineStr">
        <is>
          <t>?</t>
        </is>
      </c>
      <c r="R5" s="4">
        <f>IF(AND(I5&gt;$J$6, I5&lt;$J$7),"Yes")</f>
        <v/>
      </c>
      <c r="T5" s="76" t="n">
        <v>-0.0346921906151105</v>
      </c>
      <c r="U5" s="76" t="n">
        <v>0.01573</v>
      </c>
      <c r="V5" s="76" t="n">
        <v>-0.0403899807632854</v>
      </c>
      <c r="W5" s="76" t="n">
        <v>0.01916</v>
      </c>
    </row>
    <row r="6">
      <c r="A6" s="76" t="inlineStr">
        <is>
          <t>DLPFC</t>
        </is>
      </c>
      <c r="B6" s="76" t="n">
        <v>151672</v>
      </c>
      <c r="C6" s="76" t="n">
        <v>0.73395</v>
      </c>
      <c r="D6" s="76" t="n">
        <v>0.0243</v>
      </c>
      <c r="E6" s="76" t="n">
        <v>0.751989999999999</v>
      </c>
      <c r="F6" s="76" t="n">
        <v>0.0129</v>
      </c>
      <c r="G6" s="76" t="n">
        <v>0.27896</v>
      </c>
      <c r="H6" s="76" t="n">
        <v>0.0158</v>
      </c>
      <c r="I6" s="2">
        <f>C6-E6</f>
        <v/>
      </c>
      <c r="K6" s="76" t="inlineStr">
        <is>
          <t>[-0.0315,-0.0029]</t>
        </is>
      </c>
      <c r="L6" s="76" t="inlineStr">
        <is>
          <t>ET (P)</t>
        </is>
      </c>
      <c r="M6" t="inlineStr">
        <is>
          <t>[-0.0341, -0.0002]</t>
        </is>
      </c>
      <c r="N6" s="76" t="inlineStr">
        <is>
          <t>ET (P)</t>
        </is>
      </c>
      <c r="P6" s="76" t="inlineStr">
        <is>
          <t>ET (P)</t>
        </is>
      </c>
      <c r="Q6" s="7" t="inlineStr">
        <is>
          <t>P</t>
        </is>
      </c>
      <c r="R6" s="4">
        <f>IF(AND(I6&gt;$J$6, I6&lt;$J$7),"Yes")</f>
        <v/>
      </c>
      <c r="T6" s="76" t="n">
        <v>-0.0315</v>
      </c>
      <c r="U6" s="76" t="n">
        <v>-0.00291191344203957</v>
      </c>
      <c r="V6" s="76" t="n">
        <v>-0.0340667315186151</v>
      </c>
      <c r="W6" s="76" t="n">
        <v>-0.000172862293764963</v>
      </c>
    </row>
    <row r="7">
      <c r="A7" s="76" t="inlineStr">
        <is>
          <t>DLPFC</t>
        </is>
      </c>
      <c r="B7" s="76" t="n">
        <v>151674</v>
      </c>
      <c r="C7" s="76" t="n">
        <v>0.67604</v>
      </c>
      <c r="D7" s="76" t="n">
        <v>0.0525</v>
      </c>
      <c r="E7" s="76" t="n">
        <v>0.67298</v>
      </c>
      <c r="F7" s="76" t="n">
        <v>0.0352</v>
      </c>
      <c r="G7" s="76" t="n">
        <v>0.31327</v>
      </c>
      <c r="H7" s="76" t="n">
        <v>0.0119</v>
      </c>
      <c r="I7" s="2">
        <f>C7-E7</f>
        <v/>
      </c>
      <c r="K7" s="76" t="inlineStr">
        <is>
          <t>[-0.0431, 0.0297]</t>
        </is>
      </c>
      <c r="L7" s="76" t="inlineStr">
        <is>
          <t>ET (P)</t>
        </is>
      </c>
      <c r="M7" t="inlineStr">
        <is>
          <t>[-0.0548, 0.0337]</t>
        </is>
      </c>
      <c r="N7" s="76" t="inlineStr">
        <is>
          <t>ET (Toward UI)</t>
        </is>
      </c>
      <c r="P7" s="76" t="inlineStr">
        <is>
          <t>ET (Toward UI)</t>
        </is>
      </c>
      <c r="Q7" s="76" t="inlineStr">
        <is>
          <t>?</t>
        </is>
      </c>
      <c r="R7" s="4">
        <f>IF(AND(I7&gt;$J$6, I7&lt;$J$7),"Yes")</f>
        <v/>
      </c>
      <c r="T7" s="76" t="n">
        <v>-0.0430720758789095</v>
      </c>
      <c r="U7" s="76" t="n">
        <v>0.0296517014745455</v>
      </c>
      <c r="V7" s="76" t="n">
        <v>-0.0547724034476666</v>
      </c>
      <c r="W7" s="76" t="n">
        <v>0.03371</v>
      </c>
    </row>
    <row r="8">
      <c r="A8" s="76" t="inlineStr">
        <is>
          <t>MERFISH_frontal_cortex</t>
        </is>
      </c>
      <c r="B8" s="76" t="inlineStr">
        <is>
          <t>4_1</t>
        </is>
      </c>
      <c r="C8" s="76" t="n">
        <v>0.86895</v>
      </c>
      <c r="D8" s="76" t="n">
        <v>0.0499</v>
      </c>
      <c r="E8" s="76" t="n">
        <v>0.84597</v>
      </c>
      <c r="F8" s="76" t="n">
        <v>0.0131</v>
      </c>
      <c r="G8" s="76" t="n">
        <v>0.48547</v>
      </c>
      <c r="H8" s="76" t="n">
        <v>0.0132</v>
      </c>
      <c r="I8" s="2">
        <f>C8-E8</f>
        <v/>
      </c>
      <c r="K8" s="76" t="inlineStr">
        <is>
          <t>[0.0053, 0.0489]</t>
        </is>
      </c>
      <c r="L8" s="76" t="inlineStr">
        <is>
          <t>ET (P)</t>
        </is>
      </c>
      <c r="M8" t="inlineStr">
        <is>
          <t>[0.0025, 0.0545]</t>
        </is>
      </c>
      <c r="N8" s="76" t="inlineStr">
        <is>
          <t>ET (Toward PT)</t>
        </is>
      </c>
      <c r="P8" s="76" t="inlineStr">
        <is>
          <t>ET (Toward PT)</t>
        </is>
      </c>
      <c r="Q8" s="76" t="inlineStr">
        <is>
          <t>****</t>
        </is>
      </c>
      <c r="R8" s="4">
        <f>IF(AND(I8&gt;$J$6, I8&lt;$J$7),"Yes")</f>
        <v/>
      </c>
      <c r="T8" s="76" t="n">
        <v>0.00530000000000001</v>
      </c>
      <c r="U8" s="76" t="n">
        <v>0.0489266595263606</v>
      </c>
      <c r="V8" s="76" t="n">
        <v>0.00251524345032583</v>
      </c>
      <c r="W8" s="76" t="n">
        <v>0.0545301680337173</v>
      </c>
    </row>
    <row r="9">
      <c r="A9" s="76" t="inlineStr">
        <is>
          <t>MERFISH_frontal_cortex</t>
        </is>
      </c>
      <c r="B9" s="76" t="inlineStr">
        <is>
          <t>4_2</t>
        </is>
      </c>
      <c r="C9" s="76" t="n">
        <v>0.79702</v>
      </c>
      <c r="D9" s="76" t="n">
        <v>0.0184</v>
      </c>
      <c r="E9" s="76" t="n">
        <v>0.771019999999999</v>
      </c>
      <c r="F9" s="76" t="n">
        <v>0.0343</v>
      </c>
      <c r="G9" s="76" t="n">
        <v>0.48646</v>
      </c>
      <c r="H9" s="76" t="n">
        <v>0.0098</v>
      </c>
      <c r="I9" s="2">
        <f>C9-E9</f>
        <v/>
      </c>
      <c r="K9" s="76" t="inlineStr">
        <is>
          <t>[0.0071, 0.0451]</t>
        </is>
      </c>
      <c r="L9" s="76" t="inlineStr">
        <is>
          <t>ET (P)</t>
        </is>
      </c>
      <c r="M9" t="inlineStr">
        <is>
          <t>[0.0036, 0.0493]</t>
        </is>
      </c>
      <c r="N9" s="76" t="inlineStr">
        <is>
          <t>ET (P)</t>
        </is>
      </c>
      <c r="P9" s="76" t="inlineStr">
        <is>
          <t>ET (Toward PT)</t>
        </is>
      </c>
      <c r="Q9" s="76" t="inlineStr">
        <is>
          <t>****</t>
        </is>
      </c>
      <c r="R9" s="4">
        <f>IF(AND(I9&gt;$J$6, I9&lt;$J$7),"Yes")</f>
        <v/>
      </c>
      <c r="T9" s="76" t="n">
        <v>0.00709318636062099</v>
      </c>
      <c r="U9" s="76" t="n">
        <v>0.0450790782291374</v>
      </c>
      <c r="V9" s="76" t="n">
        <v>0.00359555554907485</v>
      </c>
      <c r="W9" s="76" t="n">
        <v>0.0492638106371321</v>
      </c>
    </row>
    <row r="10">
      <c r="A10" s="76" t="inlineStr">
        <is>
          <t>MERFISH_frontal_cortex</t>
        </is>
      </c>
      <c r="B10" s="76" t="inlineStr">
        <is>
          <t>8_0</t>
        </is>
      </c>
      <c r="C10" s="76" t="n">
        <v>0.89201</v>
      </c>
      <c r="D10" s="76" t="n">
        <v>0.0156</v>
      </c>
      <c r="E10" s="76" t="n">
        <v>0.892019999999999</v>
      </c>
      <c r="F10" s="76" t="n">
        <v>0.026</v>
      </c>
      <c r="G10" s="76" t="n">
        <v>0.52938</v>
      </c>
      <c r="H10" s="76" t="n">
        <v>0.0057</v>
      </c>
      <c r="I10" s="2">
        <f>C10-E10</f>
        <v/>
      </c>
      <c r="K10" s="76" t="inlineStr">
        <is>
          <t>[-0.0168, 0.0142]</t>
        </is>
      </c>
      <c r="L10" s="76" t="inlineStr">
        <is>
          <t>ET (P)</t>
        </is>
      </c>
      <c r="M10" t="inlineStr">
        <is>
          <t>[-0.0201, 0.0167]</t>
        </is>
      </c>
      <c r="N10" s="76" t="inlineStr">
        <is>
          <t>ET (P)</t>
        </is>
      </c>
      <c r="P10" s="76" t="inlineStr">
        <is>
          <t>ET (P)</t>
        </is>
      </c>
      <c r="Q10" s="7" t="inlineStr">
        <is>
          <t>P</t>
        </is>
      </c>
      <c r="R10" s="4">
        <f>IF(AND(I10&gt;$J$6, I10&lt;$J$7),"Yes")</f>
        <v/>
      </c>
      <c r="T10" s="76" t="n">
        <v>-0.0167760438711966</v>
      </c>
      <c r="U10" s="76" t="n">
        <v>0.0142170520673082</v>
      </c>
      <c r="V10" s="76" t="n">
        <v>-0.02012</v>
      </c>
      <c r="W10" s="76" t="n">
        <v>0.01668</v>
      </c>
    </row>
    <row r="11">
      <c r="A11" s="76" t="inlineStr">
        <is>
          <t>MERFISH_frontal_cortex</t>
        </is>
      </c>
      <c r="B11" s="76" t="inlineStr">
        <is>
          <t>8_1</t>
        </is>
      </c>
      <c r="C11" s="76" t="n">
        <v>0.70701</v>
      </c>
      <c r="D11" s="76" t="n">
        <v>0.0373</v>
      </c>
      <c r="E11" s="76" t="n">
        <v>0.72104</v>
      </c>
      <c r="F11" s="76" t="n">
        <v>0.0466</v>
      </c>
      <c r="G11" s="76" t="n">
        <v>0.42932</v>
      </c>
      <c r="H11" s="76" t="n">
        <v>0.0153</v>
      </c>
      <c r="I11" s="2">
        <f>C11-E11</f>
        <v/>
      </c>
      <c r="K11" s="76" t="inlineStr">
        <is>
          <t>[-0.0344, 0.0010]</t>
        </is>
      </c>
      <c r="L11" s="76" t="inlineStr">
        <is>
          <t>ET (P)</t>
        </is>
      </c>
      <c r="M11" t="inlineStr">
        <is>
          <t>[-0.0381, 0.0147]</t>
        </is>
      </c>
      <c r="N11" s="76" t="inlineStr">
        <is>
          <t>ET (P)</t>
        </is>
      </c>
      <c r="P11" s="76" t="inlineStr">
        <is>
          <t>ET (P)</t>
        </is>
      </c>
      <c r="Q11" s="7" t="inlineStr">
        <is>
          <t>P</t>
        </is>
      </c>
      <c r="R11" s="4">
        <f>IF(AND(I11&gt;$J$6, I11&lt;$J$7),"Yes")</f>
        <v/>
      </c>
      <c r="T11" s="76" t="n">
        <v>-0.0344410923076064</v>
      </c>
      <c r="U11" s="76" t="n">
        <v>0.00996771449726243</v>
      </c>
      <c r="V11" s="76" t="n">
        <v>-0.0380608905933984</v>
      </c>
      <c r="W11" s="76" t="n">
        <v>0.0146822545176458</v>
      </c>
    </row>
    <row r="12">
      <c r="A12" s="76" t="inlineStr">
        <is>
          <t>MERFISH_frontal_cortex</t>
        </is>
      </c>
      <c r="B12" s="76" t="inlineStr">
        <is>
          <t>8_2</t>
        </is>
      </c>
      <c r="C12" s="76" t="n">
        <v>0.77996</v>
      </c>
      <c r="D12" s="76" t="n">
        <v>0.0149</v>
      </c>
      <c r="E12" s="76" t="n">
        <v>0.81296</v>
      </c>
      <c r="F12" s="76" t="n">
        <v>0.0126</v>
      </c>
      <c r="G12" s="76" t="n">
        <v>0.41933</v>
      </c>
      <c r="H12" s="76" t="n">
        <v>0.0104</v>
      </c>
      <c r="I12" s="2">
        <f>C12-E12</f>
        <v/>
      </c>
      <c r="K12" s="76" t="inlineStr">
        <is>
          <t>[-0.0433, -0.0230]</t>
        </is>
      </c>
      <c r="L12" s="76" t="inlineStr">
        <is>
          <t>ET (P)</t>
        </is>
      </c>
      <c r="M12" t="inlineStr">
        <is>
          <t>[-0.0450, -0.0213]</t>
        </is>
      </c>
      <c r="N12" s="76" t="inlineStr">
        <is>
          <t>ET (P)</t>
        </is>
      </c>
      <c r="P12" s="76" t="inlineStr">
        <is>
          <t>ET (Toward UI)</t>
        </is>
      </c>
      <c r="Q12" s="76" t="inlineStr">
        <is>
          <t>?</t>
        </is>
      </c>
      <c r="R12" s="4">
        <f>IF(AND(I12&gt;$J$6, I12&lt;$J$7),"Yes")</f>
        <v/>
      </c>
      <c r="T12" s="76" t="n">
        <v>-0.04333</v>
      </c>
      <c r="U12" s="76" t="n">
        <v>-0.0230126712402023</v>
      </c>
      <c r="V12" s="76" t="n">
        <v>-0.0450434609535798</v>
      </c>
      <c r="W12" s="76" t="n">
        <v>-0.0212999999999999</v>
      </c>
    </row>
    <row r="13">
      <c r="A13" s="76" t="inlineStr">
        <is>
          <t>STARmap</t>
        </is>
      </c>
      <c r="C13" s="76" t="n">
        <v>0.8799899999999991</v>
      </c>
      <c r="D13" s="76" t="n">
        <v>0.0679</v>
      </c>
      <c r="E13" s="76" t="n">
        <v>0.89203</v>
      </c>
      <c r="F13" s="76" t="n">
        <v>0.0246</v>
      </c>
      <c r="G13" s="76" t="n">
        <v>0.06991</v>
      </c>
      <c r="H13" s="76" t="n">
        <v>0.0192</v>
      </c>
      <c r="I13" s="2">
        <f>C13-E13</f>
        <v/>
      </c>
      <c r="K13" s="76" t="inlineStr">
        <is>
          <t>[-0.0247, 0.0277]</t>
        </is>
      </c>
      <c r="L13" s="76" t="inlineStr">
        <is>
          <t>ET (P)</t>
        </is>
      </c>
      <c r="M13" t="inlineStr">
        <is>
          <t>[-0.0281, 0.0346]</t>
        </is>
      </c>
      <c r="N13" s="76" t="inlineStr">
        <is>
          <t>ET (P)</t>
        </is>
      </c>
      <c r="P13" s="76" t="inlineStr">
        <is>
          <t>ET (P)</t>
        </is>
      </c>
      <c r="Q13" s="7" t="inlineStr">
        <is>
          <t>P</t>
        </is>
      </c>
      <c r="R13" s="4">
        <f>IF(AND(I13&gt;$J$6, I13&lt;$J$7),"Yes")</f>
        <v/>
      </c>
      <c r="T13" s="76" t="n">
        <v>-0.0246893597643864</v>
      </c>
      <c r="U13" s="76" t="n">
        <v>0.0276702387073486</v>
      </c>
      <c r="V13" s="76" t="n">
        <v>-0.0281088953944983</v>
      </c>
      <c r="W13" s="76" t="n">
        <v>0.0346406038471651</v>
      </c>
    </row>
    <row r="14">
      <c r="A14" s="76" t="inlineStr">
        <is>
          <t>osmFISH</t>
        </is>
      </c>
      <c r="C14" s="76" t="n">
        <v>0.43296</v>
      </c>
      <c r="D14" s="76" t="n">
        <v>0.0183</v>
      </c>
      <c r="E14" s="76" t="n">
        <v>0.43605</v>
      </c>
      <c r="F14" s="76" t="n">
        <v>0.0461</v>
      </c>
      <c r="G14" s="76" t="n">
        <v>0.19213</v>
      </c>
      <c r="H14" s="76" t="n">
        <v>0.014</v>
      </c>
      <c r="I14" s="2">
        <f>C14-E14</f>
        <v/>
      </c>
      <c r="K14" s="76" t="inlineStr">
        <is>
          <t>[-0.0413, 0.0217]</t>
        </is>
      </c>
      <c r="L14" s="76" t="inlineStr">
        <is>
          <t>ET (P)</t>
        </is>
      </c>
      <c r="M14" t="inlineStr">
        <is>
          <t>[-0.0455, 0.0296]</t>
        </is>
      </c>
      <c r="N14" s="76" t="inlineStr">
        <is>
          <t>ET (P)</t>
        </is>
      </c>
      <c r="P14" s="76" t="inlineStr">
        <is>
          <t>ET (Toward UI)</t>
        </is>
      </c>
      <c r="Q14" s="76" t="inlineStr">
        <is>
          <t>?</t>
        </is>
      </c>
      <c r="R14" s="4">
        <f>IF(AND(I14&gt;$J$6, I14&lt;$J$7),"Yes")</f>
        <v/>
      </c>
      <c r="T14" s="76" t="n">
        <v>-0.04131</v>
      </c>
      <c r="U14" s="76" t="n">
        <v>0.0217299999999999</v>
      </c>
      <c r="V14" s="76" t="n">
        <v>-0.0455053379066849</v>
      </c>
      <c r="W14" s="76" t="n">
        <v>0.0296409313447247</v>
      </c>
    </row>
    <row r="15">
      <c r="A15" s="76" t="inlineStr">
        <is>
          <t>DLPFC</t>
        </is>
      </c>
      <c r="B15" s="76" t="n">
        <v>151673</v>
      </c>
      <c r="C15" s="76" t="n">
        <v>0.713</v>
      </c>
      <c r="D15" s="76" t="n">
        <v>0.0663</v>
      </c>
      <c r="E15" s="76" t="n">
        <v>0.67797</v>
      </c>
      <c r="F15" s="76" t="n">
        <v>0.0218</v>
      </c>
      <c r="G15" s="76" t="n">
        <v>0.28034</v>
      </c>
      <c r="H15" s="76" t="n">
        <v>0.0108</v>
      </c>
      <c r="I15" s="2">
        <f>C15-E15</f>
        <v/>
      </c>
      <c r="K15" s="76" t="inlineStr">
        <is>
          <t>[-0.0023, 0.0621]</t>
        </is>
      </c>
      <c r="L15" s="76" t="inlineStr">
        <is>
          <t>ET (Torward PT)</t>
        </is>
      </c>
      <c r="M15" t="inlineStr">
        <is>
          <t>[-0.0104, 0.0663]</t>
        </is>
      </c>
      <c r="N15" s="76" t="inlineStr">
        <is>
          <t>ET (Torward PT)</t>
        </is>
      </c>
      <c r="P15" s="76" t="inlineStr">
        <is>
          <t>ET (Toward PT)</t>
        </is>
      </c>
      <c r="Q15" s="76" t="inlineStr">
        <is>
          <t>****</t>
        </is>
      </c>
      <c r="R15" s="4">
        <f>IF(AND(I15&gt;$J$6, I15&lt;$J$7),"Yes")</f>
        <v/>
      </c>
      <c r="T15" s="76" t="n">
        <v>-0.00233352183919366</v>
      </c>
      <c r="U15" s="76" t="n">
        <v>0.06214</v>
      </c>
      <c r="V15" s="76" t="n">
        <v>-0.0104445756974744</v>
      </c>
      <c r="W15" s="76" t="n">
        <v>0.06632</v>
      </c>
    </row>
    <row r="16">
      <c r="A16" s="76" t="inlineStr">
        <is>
          <t>Breast_Cancer</t>
        </is>
      </c>
      <c r="C16" s="76" t="n">
        <v>0.69703</v>
      </c>
      <c r="D16" s="76" t="n">
        <v>0.056</v>
      </c>
      <c r="E16" s="76" t="n">
        <v>0.74397</v>
      </c>
      <c r="F16" s="76" t="n">
        <v>0.0306</v>
      </c>
      <c r="G16" s="76" t="n">
        <v>0.57872</v>
      </c>
      <c r="H16" s="76" t="n">
        <v>0.0104</v>
      </c>
      <c r="I16" s="2">
        <f>C16-E16</f>
        <v/>
      </c>
      <c r="J16" s="8" t="inlineStr">
        <is>
          <t>[-0.0517,0.0517]</t>
        </is>
      </c>
      <c r="K16" t="inlineStr">
        <is>
          <t>[-0.0812, -0.0111]</t>
        </is>
      </c>
      <c r="L16" t="inlineStr">
        <is>
          <t>ET (Torward UI)</t>
        </is>
      </c>
      <c r="M16" t="inlineStr">
        <is>
          <t>[-0.0875, -0.0045]</t>
        </is>
      </c>
      <c r="N16" t="inlineStr">
        <is>
          <t>ET (Toward UI)</t>
        </is>
      </c>
      <c r="P16" t="inlineStr">
        <is>
          <t>UI (P)</t>
        </is>
      </c>
      <c r="R16" s="4">
        <f>IF(AND(I16&gt;$J$6, I16&lt;$J$7),"Yes")</f>
        <v/>
      </c>
      <c r="S16" t="inlineStr">
        <is>
          <t>有价值但不充分</t>
        </is>
      </c>
      <c r="T16" s="76" t="n">
        <v>-0.081184486182187</v>
      </c>
      <c r="U16" s="76" t="n">
        <v>-0.0111420502278438</v>
      </c>
      <c r="V16" s="76" t="n">
        <v>-0.08753</v>
      </c>
      <c r="W16" s="76" t="n">
        <v>-0.0045178806880511</v>
      </c>
    </row>
    <row r="17">
      <c r="A17" s="76" t="inlineStr">
        <is>
          <t>Mouse_anterior_brain</t>
        </is>
      </c>
      <c r="C17" s="76" t="n">
        <v>0.5460199999999999</v>
      </c>
      <c r="D17" s="76" t="n">
        <v>0.0418</v>
      </c>
      <c r="E17" s="76" t="n">
        <v>0.57004</v>
      </c>
      <c r="F17" s="76" t="n">
        <v>0.0376</v>
      </c>
      <c r="G17" s="76" t="n">
        <v>0.4203</v>
      </c>
      <c r="H17" s="76" t="n">
        <v>0.0138</v>
      </c>
      <c r="I17" s="2">
        <f>C17-E17</f>
        <v/>
      </c>
      <c r="K17" s="76" t="inlineStr">
        <is>
          <t>[-0.0538, -0.0031]</t>
        </is>
      </c>
      <c r="L17" s="76" t="inlineStr">
        <is>
          <t>ET (Toward UI)</t>
        </is>
      </c>
      <c r="M17" t="inlineStr">
        <is>
          <t>[-0.0594, 0.0006]</t>
        </is>
      </c>
      <c r="N17" s="76" t="inlineStr">
        <is>
          <t>ET (Toward UI)</t>
        </is>
      </c>
      <c r="P17" s="76" t="inlineStr">
        <is>
          <t>ET (Toward UI)</t>
        </is>
      </c>
      <c r="Q17" s="76" t="inlineStr">
        <is>
          <t>?</t>
        </is>
      </c>
      <c r="R17" s="4">
        <f>IF(AND(I17&gt;$J$6, I17&lt;$J$7),"Yes")</f>
        <v/>
      </c>
      <c r="T17" s="76" t="n">
        <v>-0.0538453839539414</v>
      </c>
      <c r="U17" s="76" t="n">
        <v>-0.00312999999999999</v>
      </c>
      <c r="V17" s="76" t="n">
        <v>-0.05944</v>
      </c>
      <c r="W17" s="76" t="n">
        <v>0.000580033974788229</v>
      </c>
    </row>
    <row r="18">
      <c r="A18" s="14" t="inlineStr">
        <is>
          <t>MERFISH</t>
        </is>
      </c>
      <c r="B18" s="14" t="n"/>
      <c r="C18" s="14" t="n">
        <v>0.77899</v>
      </c>
      <c r="D18" s="14" t="n">
        <v>0.0401</v>
      </c>
      <c r="E18" s="14" t="n">
        <v>0.66896</v>
      </c>
      <c r="F18" s="14" t="n">
        <v>0.06320000000000001</v>
      </c>
      <c r="G18" s="14" t="n">
        <v>0.16396</v>
      </c>
      <c r="H18" s="14" t="n">
        <v>0.0091</v>
      </c>
      <c r="I18" s="15">
        <f>C18-E18</f>
        <v/>
      </c>
      <c r="J18" s="16" t="n"/>
      <c r="K18" s="14" t="inlineStr">
        <is>
          <t>[0.0663, 0.1472]</t>
        </is>
      </c>
      <c r="L18" s="14" t="inlineStr">
        <is>
          <t>PT (P)</t>
        </is>
      </c>
      <c r="M18" t="inlineStr">
        <is>
          <t>[0.0567, 0.1529]</t>
        </is>
      </c>
      <c r="N18" s="76" t="inlineStr">
        <is>
          <t>PT (P)</t>
        </is>
      </c>
      <c r="P18" s="76" t="inlineStr">
        <is>
          <t>PT (P)</t>
        </is>
      </c>
      <c r="Q18" s="7" t="inlineStr">
        <is>
          <t>P</t>
        </is>
      </c>
      <c r="R18" s="4">
        <f>IF(AND(I18&gt;$J$6, I18&lt;$J$7),"Yes")</f>
        <v/>
      </c>
      <c r="S18" t="inlineStr">
        <is>
          <t>正向迁移</t>
        </is>
      </c>
      <c r="T18" s="76" t="n">
        <v>0.0662843808403193</v>
      </c>
      <c r="U18" s="76" t="n">
        <v>0.147229999999999</v>
      </c>
      <c r="V18" s="76" t="n">
        <v>0.0566739038814881</v>
      </c>
      <c r="W18" s="76" t="n">
        <v>0.15293587173221</v>
      </c>
    </row>
    <row r="19">
      <c r="A19" s="10" t="inlineStr">
        <is>
          <t>DLPFC</t>
        </is>
      </c>
      <c r="B19" s="10" t="n">
        <v>151509</v>
      </c>
      <c r="C19" s="10" t="n">
        <v>0.63197</v>
      </c>
      <c r="D19" s="10" t="n">
        <v>0.0586</v>
      </c>
      <c r="E19" s="10" t="n">
        <v>0.76701</v>
      </c>
      <c r="F19" s="10" t="n">
        <v>0.0181</v>
      </c>
      <c r="G19" s="10" t="n">
        <v>0.36773</v>
      </c>
      <c r="H19" s="10" t="n">
        <v>0.0143</v>
      </c>
      <c r="I19" s="11">
        <f>C19-E19</f>
        <v/>
      </c>
      <c r="J19" s="10" t="n">
        <v>-0.038775</v>
      </c>
      <c r="K19" s="10" t="inlineStr">
        <is>
          <t>[-0.1644, -0.1063]</t>
        </is>
      </c>
      <c r="L19" s="10" t="inlineStr">
        <is>
          <t>UI (P)</t>
        </is>
      </c>
      <c r="M19" t="inlineStr">
        <is>
          <t>[-0.1703, -0.1010]</t>
        </is>
      </c>
      <c r="N19" s="76" t="inlineStr">
        <is>
          <t>UI (P)</t>
        </is>
      </c>
      <c r="P19" s="76" t="inlineStr">
        <is>
          <t>UI (P)</t>
        </is>
      </c>
      <c r="R19" s="4">
        <f>IF(AND(I19&gt;$J$6, I19&lt;$J$7),"Yes")</f>
        <v/>
      </c>
      <c r="S19" t="inlineStr">
        <is>
          <t>有价值但不充分</t>
        </is>
      </c>
      <c r="T19" s="76" t="n">
        <v>-0.16438</v>
      </c>
      <c r="U19" s="76" t="n">
        <v>-0.10625337419535</v>
      </c>
      <c r="V19" s="76" t="n">
        <v>-0.170309556739068</v>
      </c>
      <c r="W19" s="76" t="n">
        <v>-0.101010176907908</v>
      </c>
    </row>
    <row r="20">
      <c r="A20" s="11" t="inlineStr">
        <is>
          <t>DLPFC</t>
        </is>
      </c>
      <c r="B20" s="11" t="n">
        <v>151510</v>
      </c>
      <c r="C20" s="10" t="n">
        <v>0.57695</v>
      </c>
      <c r="D20" s="10" t="n">
        <v>0.1061</v>
      </c>
      <c r="E20" s="10" t="n">
        <v>0.695979999999999</v>
      </c>
      <c r="F20" s="10" t="n">
        <v>0.0202</v>
      </c>
      <c r="G20" s="10" t="n">
        <v>0.31992</v>
      </c>
      <c r="H20" s="10" t="n">
        <v>0.0176</v>
      </c>
      <c r="I20" s="11">
        <f>C20-E20</f>
        <v/>
      </c>
      <c r="J20" s="10" t="n">
        <v>0.038775</v>
      </c>
      <c r="K20" s="10" t="inlineStr">
        <is>
          <t>[-0.1687, -0.0686]</t>
        </is>
      </c>
      <c r="L20" s="10" t="inlineStr">
        <is>
          <t>UI (P)</t>
        </is>
      </c>
      <c r="M20" t="inlineStr">
        <is>
          <t>[-0.1776, -0.0601]</t>
        </is>
      </c>
      <c r="N20" s="76" t="inlineStr">
        <is>
          <t>UI (P)</t>
        </is>
      </c>
      <c r="P20" s="76" t="inlineStr">
        <is>
          <t>UI (P)</t>
        </is>
      </c>
      <c r="R20" s="4">
        <f>IF(AND(I20&gt;$J$6, I20&lt;$J$7),"Yes")</f>
        <v/>
      </c>
      <c r="S20" t="inlineStr">
        <is>
          <t>有价值但不充分</t>
        </is>
      </c>
      <c r="T20" s="76" t="n">
        <v>-0.168659999999999</v>
      </c>
      <c r="U20" s="76" t="n">
        <v>-0.06861148184369489</v>
      </c>
      <c r="V20" s="76" t="n">
        <v>-0.177560019796257</v>
      </c>
      <c r="W20" s="76" t="n">
        <v>-0.06005</v>
      </c>
    </row>
    <row r="21">
      <c r="A21" s="10" t="inlineStr">
        <is>
          <t>DLPFC</t>
        </is>
      </c>
      <c r="B21" s="10" t="n">
        <v>151669</v>
      </c>
      <c r="C21" s="10" t="n">
        <v>0.8080000000000001</v>
      </c>
      <c r="D21" s="10" t="n">
        <v>0.0437</v>
      </c>
      <c r="E21" s="10" t="n">
        <v>0.88301</v>
      </c>
      <c r="F21" s="10" t="n">
        <v>0.0142</v>
      </c>
      <c r="G21" s="10" t="n">
        <v>0.46674</v>
      </c>
      <c r="H21" s="10" t="n">
        <v>0.0134</v>
      </c>
      <c r="I21" s="11">
        <f>C21-E21</f>
        <v/>
      </c>
      <c r="J21" s="12" t="inlineStr">
        <is>
          <t>[-0.0388, 0.0388]</t>
        </is>
      </c>
      <c r="K21" s="10" t="inlineStr">
        <is>
          <t>[-0.0997, -0.0555]</t>
        </is>
      </c>
      <c r="L21" s="10" t="inlineStr">
        <is>
          <t>UI (P)</t>
        </is>
      </c>
      <c r="M21" t="inlineStr">
        <is>
          <t>[-0.1051, -0.0521]</t>
        </is>
      </c>
      <c r="N21" s="76" t="inlineStr">
        <is>
          <t>UI (P)</t>
        </is>
      </c>
      <c r="P21" s="76" t="inlineStr">
        <is>
          <t>UI (P)</t>
        </is>
      </c>
      <c r="R21" s="4">
        <f>IF(AND(I21&gt;$J$6, I21&lt;$J$7),"Yes")</f>
        <v/>
      </c>
      <c r="S21" t="inlineStr">
        <is>
          <t>有价值但不充分</t>
        </is>
      </c>
      <c r="T21" s="76" t="n">
        <v>-0.0996599999999999</v>
      </c>
      <c r="U21" s="76" t="n">
        <v>-0.0554531534954916</v>
      </c>
      <c r="V21" s="76" t="n">
        <v>-0.105079999999999</v>
      </c>
      <c r="W21" s="76" t="n">
        <v>-0.0521</v>
      </c>
    </row>
    <row r="22">
      <c r="A22" s="80" t="inlineStr">
        <is>
          <t>DLPFC</t>
        </is>
      </c>
      <c r="B22" s="81" t="n">
        <v>151675</v>
      </c>
      <c r="C22" s="10" t="n">
        <v>0.62096</v>
      </c>
      <c r="D22" s="10" t="n">
        <v>0.0294</v>
      </c>
      <c r="E22" s="10" t="n">
        <v>0.72299</v>
      </c>
      <c r="F22" s="10" t="n">
        <v>0.0278</v>
      </c>
      <c r="G22" s="10" t="n">
        <v>0.2734</v>
      </c>
      <c r="H22" s="10" t="n">
        <v>0.0158</v>
      </c>
      <c r="I22" s="11">
        <f>C22-E22</f>
        <v/>
      </c>
      <c r="J22" s="13" t="n"/>
      <c r="K22" s="10" t="inlineStr">
        <is>
          <t>[-0.1286, -0.0839]</t>
        </is>
      </c>
      <c r="L22" s="10" t="inlineStr">
        <is>
          <t>UI (P)</t>
        </is>
      </c>
      <c r="M22" t="inlineStr">
        <is>
          <t>[-0.1343, -0.0807]</t>
        </is>
      </c>
      <c r="N22" s="76" t="inlineStr">
        <is>
          <t>UI (P)</t>
        </is>
      </c>
      <c r="P22" s="76" t="inlineStr">
        <is>
          <t>UI (P)</t>
        </is>
      </c>
      <c r="R22" s="4">
        <f>IF(AND(I22&gt;$J$6, I22&lt;$J$7),"Yes")</f>
        <v/>
      </c>
      <c r="S22" t="inlineStr">
        <is>
          <t>有价值但不充分</t>
        </is>
      </c>
      <c r="T22" s="76" t="n">
        <v>-0.128584302998647</v>
      </c>
      <c r="U22" s="76" t="n">
        <v>-0.0839386113733547</v>
      </c>
      <c r="V22" s="76" t="n">
        <v>-0.134253275078746</v>
      </c>
      <c r="W22" s="76" t="n">
        <v>-0.0807399999999999</v>
      </c>
    </row>
    <row r="23">
      <c r="A23" s="11" t="inlineStr">
        <is>
          <t>MERFISH_frontal_cortex</t>
        </is>
      </c>
      <c r="B23" s="11" t="inlineStr">
        <is>
          <t>4_0</t>
        </is>
      </c>
      <c r="C23" s="10" t="n">
        <v>0.61298</v>
      </c>
      <c r="D23" s="10" t="n">
        <v>0.1186</v>
      </c>
      <c r="E23" s="10" t="n">
        <v>0.77096</v>
      </c>
      <c r="F23" s="10" t="n">
        <v>0.0242</v>
      </c>
      <c r="G23" s="10" t="n">
        <v>0.29259</v>
      </c>
      <c r="H23" s="10" t="n">
        <v>0.0225</v>
      </c>
      <c r="I23" s="11">
        <f>C23-E23</f>
        <v/>
      </c>
      <c r="J23" s="13" t="n"/>
      <c r="K23" s="10" t="inlineStr">
        <is>
          <t>[-0.2494, -0.1182]</t>
        </is>
      </c>
      <c r="L23" s="10" t="inlineStr">
        <is>
          <t>UI (P)</t>
        </is>
      </c>
      <c r="M23" t="inlineStr">
        <is>
          <t>[-0.2721, -0.1143]</t>
        </is>
      </c>
      <c r="N23" s="76" t="inlineStr">
        <is>
          <t>UI (P)</t>
        </is>
      </c>
      <c r="P23" s="76" t="inlineStr">
        <is>
          <t>UI (P)</t>
        </is>
      </c>
      <c r="R23" s="4">
        <f>IF(AND(I23&gt;$J$6, I23&lt;$J$7),"Yes")</f>
        <v/>
      </c>
      <c r="S23" t="inlineStr">
        <is>
          <t>有价值但不充分</t>
        </is>
      </c>
      <c r="T23" s="76" t="n">
        <v>-0.24941399405759</v>
      </c>
      <c r="U23" s="76" t="n">
        <v>-0.118149999999999</v>
      </c>
      <c r="V23" s="76" t="n">
        <v>-0.272074478560523</v>
      </c>
      <c r="W23" s="76" t="n">
        <v>-0.114289999999999</v>
      </c>
    </row>
    <row r="24">
      <c r="A24" s="10" t="inlineStr">
        <is>
          <t>MERFISH_frontal_cortex</t>
        </is>
      </c>
      <c r="B24" s="10" t="inlineStr">
        <is>
          <t>6_0</t>
        </is>
      </c>
      <c r="C24" s="10" t="n">
        <v>0.646</v>
      </c>
      <c r="D24" s="10" t="n">
        <v>0.0276</v>
      </c>
      <c r="E24" s="10" t="n">
        <v>0.738</v>
      </c>
      <c r="F24" s="10" t="n">
        <v>0.0297</v>
      </c>
      <c r="G24" s="10" t="n">
        <v>0.24293</v>
      </c>
      <c r="H24" s="10" t="n">
        <v>0.0147</v>
      </c>
      <c r="I24" s="11">
        <f>C24-E24</f>
        <v/>
      </c>
      <c r="J24" s="13" t="n"/>
      <c r="K24" s="10" t="inlineStr">
        <is>
          <t>[-0.1145, -0.0603]</t>
        </is>
      </c>
      <c r="L24" s="10" t="inlineStr">
        <is>
          <t>UI (P)</t>
        </is>
      </c>
      <c r="M24" t="inlineStr">
        <is>
          <t>[-0.1186, -0.0535]</t>
        </is>
      </c>
      <c r="N24" s="76" t="inlineStr">
        <is>
          <t>UI (P)</t>
        </is>
      </c>
      <c r="P24" s="76" t="inlineStr">
        <is>
          <t>UI (P)</t>
        </is>
      </c>
      <c r="R24" s="4">
        <f>IF(AND(I24&gt;$J$6, I24&lt;$J$7),"Yes")</f>
        <v/>
      </c>
      <c r="S24" t="inlineStr">
        <is>
          <t>有价值但不充分</t>
        </is>
      </c>
      <c r="T24" s="76" t="n">
        <v>-0.11451</v>
      </c>
      <c r="U24" s="76" t="n">
        <v>-0.0602558441566422</v>
      </c>
      <c r="V24" s="76" t="n">
        <v>-0.118619999999999</v>
      </c>
      <c r="W24" s="76" t="n">
        <v>-0.0534599243340492</v>
      </c>
    </row>
    <row r="25">
      <c r="A25" s="80" t="inlineStr">
        <is>
          <t>MERFISH_frontal_cortex</t>
        </is>
      </c>
      <c r="B25" s="81" t="inlineStr">
        <is>
          <t>6_1</t>
        </is>
      </c>
      <c r="C25" s="10" t="n">
        <v>0.75302</v>
      </c>
      <c r="D25" s="10" t="n">
        <v>0.0267</v>
      </c>
      <c r="E25" s="10" t="n">
        <v>0.8390299999999991</v>
      </c>
      <c r="F25" s="10" t="n">
        <v>0.0315</v>
      </c>
      <c r="G25" s="10" t="n">
        <v>0.44179</v>
      </c>
      <c r="H25" s="10" t="n">
        <v>0.0136</v>
      </c>
      <c r="I25" s="11">
        <f>C25-E25</f>
        <v/>
      </c>
      <c r="J25" s="13" t="n"/>
      <c r="K25" s="10" t="inlineStr">
        <is>
          <t>[-0.1034, -0.0706]</t>
        </is>
      </c>
      <c r="L25" s="10" t="inlineStr">
        <is>
          <t>UI (P)</t>
        </is>
      </c>
      <c r="M25" t="inlineStr">
        <is>
          <t>[-0.1065, -0.0677]</t>
        </is>
      </c>
      <c r="N25" s="76" t="inlineStr">
        <is>
          <t>UI (P)</t>
        </is>
      </c>
      <c r="P25" s="76" t="inlineStr">
        <is>
          <t>UI (P)</t>
        </is>
      </c>
      <c r="R25" s="4">
        <f>IF(AND(I25&gt;$J$6, I25&lt;$J$7),"Yes")</f>
        <v/>
      </c>
      <c r="S25" t="inlineStr">
        <is>
          <t>有价值但不充分</t>
        </is>
      </c>
      <c r="T25" s="76" t="n">
        <v>-0.103434538709662</v>
      </c>
      <c r="U25" s="76" t="n">
        <v>-0.07058</v>
      </c>
      <c r="V25" s="76" t="n">
        <v>-0.106482544787941</v>
      </c>
      <c r="W25" s="76" t="n">
        <v>-0.0676514575128988</v>
      </c>
    </row>
    <row r="26">
      <c r="A26" s="10" t="inlineStr">
        <is>
          <t>MERFISH_frontal_cortex</t>
        </is>
      </c>
      <c r="B26" s="10" t="inlineStr">
        <is>
          <t>6_2</t>
        </is>
      </c>
      <c r="C26" s="10" t="n">
        <v>0.67398</v>
      </c>
      <c r="D26" s="10" t="n">
        <v>0.0261</v>
      </c>
      <c r="E26" s="10" t="n">
        <v>0.757</v>
      </c>
      <c r="F26" s="10" t="n">
        <v>0.0092</v>
      </c>
      <c r="G26" s="10" t="n">
        <v>0.35279</v>
      </c>
      <c r="H26" s="10" t="n">
        <v>0.013</v>
      </c>
      <c r="I26" s="11">
        <f>C26-E26</f>
        <v/>
      </c>
      <c r="J26" s="13" t="n"/>
      <c r="K26" s="10" t="inlineStr">
        <is>
          <t>[-0.0948, -0.0678]</t>
        </is>
      </c>
      <c r="L26" s="10" t="inlineStr">
        <is>
          <t>UI (P)</t>
        </is>
      </c>
      <c r="M26" t="inlineStr">
        <is>
          <t>[-0.0971, -0.0647]</t>
        </is>
      </c>
      <c r="N26" s="76" t="inlineStr">
        <is>
          <t>UI (P)</t>
        </is>
      </c>
      <c r="P26" s="76" t="inlineStr">
        <is>
          <t>UI (P)</t>
        </is>
      </c>
      <c r="R26" s="4">
        <f>IF(AND(I26&gt;$J$6, I26&lt;$J$7),"Yes")</f>
        <v/>
      </c>
      <c r="S26" t="inlineStr">
        <is>
          <t>有价值但不充分</t>
        </is>
      </c>
      <c r="T26" s="76" t="n">
        <v>-0.0948</v>
      </c>
      <c r="U26" s="76" t="n">
        <v>-0.06783</v>
      </c>
      <c r="V26" s="76" t="n">
        <v>-0.0970956050199839</v>
      </c>
      <c r="W26" s="76" t="n">
        <v>-0.0646937741688251</v>
      </c>
    </row>
    <row r="27">
      <c r="A27" s="10" t="inlineStr">
        <is>
          <t>DLPFC</t>
        </is>
      </c>
      <c r="B27" s="10" t="n">
        <v>151676</v>
      </c>
      <c r="C27" s="10" t="n">
        <v>0.629</v>
      </c>
      <c r="D27" s="10" t="n">
        <v>0.0264</v>
      </c>
      <c r="E27" s="10" t="n">
        <v>0.69101</v>
      </c>
      <c r="F27" s="10" t="n">
        <v>0.0376</v>
      </c>
      <c r="G27" s="10" t="n">
        <v>0.222449999999999</v>
      </c>
      <c r="H27" s="10" t="n">
        <v>0.0182</v>
      </c>
      <c r="I27" s="11">
        <f>C27-E27</f>
        <v/>
      </c>
      <c r="J27" s="13" t="n"/>
      <c r="K27" s="10" t="inlineStr">
        <is>
          <t>[-0.0755, -0.0407]</t>
        </is>
      </c>
      <c r="L27" s="10" t="inlineStr">
        <is>
          <t>UI (Toward ET)</t>
        </is>
      </c>
      <c r="M27" t="inlineStr">
        <is>
          <t>[-0.0776, -0.0351]</t>
        </is>
      </c>
      <c r="N27" s="76" t="inlineStr">
        <is>
          <t>UI (Toward ET)</t>
        </is>
      </c>
      <c r="P27" s="76" t="inlineStr">
        <is>
          <t>UI (P)</t>
        </is>
      </c>
      <c r="R27" s="4">
        <f>IF(AND(I27&gt;$J$6, I27&lt;$J$7),"Yes")</f>
        <v/>
      </c>
      <c r="S27" t="inlineStr">
        <is>
          <t>有价值但不充分</t>
        </is>
      </c>
      <c r="T27" s="76" t="n">
        <v>-0.075498013190806</v>
      </c>
      <c r="U27" s="76" t="n">
        <v>-0.040654145955638</v>
      </c>
      <c r="V27" s="76" t="n">
        <v>-0.07754999999999999</v>
      </c>
      <c r="W27" s="76" t="n">
        <v>-0.0351101920617742</v>
      </c>
    </row>
    <row r="28">
      <c r="R28" s="4">
        <f>IF(AND(I28&gt;$J$6, I28&lt;$J$7),"Yes")</f>
        <v/>
      </c>
    </row>
    <row r="29">
      <c r="C29" s="76" t="inlineStr">
        <is>
          <t>dataset</t>
        </is>
      </c>
      <c r="D29" s="76" t="inlineStr">
        <is>
          <t>#clusters</t>
        </is>
      </c>
      <c r="E29" s="76" t="inlineStr">
        <is>
          <t>#spot</t>
        </is>
      </c>
      <c r="F29" s="76" t="inlineStr">
        <is>
          <t>#gene</t>
        </is>
      </c>
      <c r="G29" s="76" t="inlineStr">
        <is>
          <t>platform</t>
        </is>
      </c>
      <c r="H29" s="76" t="inlineStr">
        <is>
          <t>organ</t>
        </is>
      </c>
      <c r="I29" s="76" t="inlineStr">
        <is>
          <t>species</t>
        </is>
      </c>
      <c r="J29" s="76" t="n"/>
      <c r="K29" s="76" t="n"/>
      <c r="T29" s="4" t="n"/>
      <c r="X29" s="76" t="n"/>
      <c r="Y29" s="76" t="n"/>
    </row>
    <row r="30" ht="16.5" customHeight="1" s="77">
      <c r="A30" s="76" t="inlineStr">
        <is>
          <t>一个LOO</t>
        </is>
      </c>
      <c r="B30" s="78" t="inlineStr">
        <is>
          <t>无图像、有标注</t>
        </is>
      </c>
      <c r="C30" s="20" t="inlineStr">
        <is>
          <t>MERFISH（POA）</t>
        </is>
      </c>
      <c r="D30" s="14" t="n">
        <v>8</v>
      </c>
      <c r="E30" s="14" t="n">
        <v>5926</v>
      </c>
      <c r="F30" s="14" t="n">
        <v>155</v>
      </c>
      <c r="G30" s="21" t="inlineStr">
        <is>
          <t>MERFISH-single cell</t>
        </is>
      </c>
      <c r="H30" s="21" t="inlineStr">
        <is>
          <t>下丘脑视前区</t>
        </is>
      </c>
      <c r="I30" s="76" t="inlineStr">
        <is>
          <t>鼠</t>
        </is>
      </c>
      <c r="J30" s="76" t="n"/>
      <c r="K30" s="76" t="n"/>
      <c r="T30" s="4" t="n"/>
      <c r="X30" s="76" t="n"/>
      <c r="Y30" s="76" t="n"/>
    </row>
    <row r="31" ht="16.5" customHeight="1" s="77">
      <c r="C31" s="22" t="inlineStr">
        <is>
          <t>MERFISH_frontal_cortex</t>
        </is>
      </c>
      <c r="D31" s="18" t="n">
        <v>43</v>
      </c>
      <c r="E31" s="19" t="inlineStr">
        <is>
          <t>54927/9</t>
        </is>
      </c>
      <c r="F31" s="19" t="n">
        <v>374</v>
      </c>
      <c r="G31" s="21" t="inlineStr">
        <is>
          <t>MERFISH-single cell</t>
        </is>
      </c>
      <c r="H31" s="21" t="inlineStr">
        <is>
          <t>前额叶皮层/纹状体</t>
        </is>
      </c>
      <c r="I31" s="76" t="inlineStr">
        <is>
          <t>鼠</t>
        </is>
      </c>
      <c r="J31" s="76" t="inlineStr">
        <is>
          <t>MHF4-0</t>
        </is>
      </c>
      <c r="K31" t="n">
        <v>5957</v>
      </c>
      <c r="L31" s="25" t="inlineStr">
        <is>
          <t>4-1:7.4k, 4-2:6.8k</t>
        </is>
      </c>
      <c r="N31" s="25" t="n"/>
      <c r="T31" s="4" t="n"/>
      <c r="X31" s="76" t="n"/>
      <c r="Y31" s="76" t="n"/>
    </row>
    <row r="32" ht="16.5" customHeight="1" s="77">
      <c r="C32" s="23" t="inlineStr">
        <is>
          <t>osmFISH</t>
        </is>
      </c>
      <c r="D32" s="76" t="n">
        <v>12</v>
      </c>
      <c r="E32" s="76" t="n">
        <v>5328</v>
      </c>
      <c r="F32" s="76" t="n">
        <v>33</v>
      </c>
      <c r="G32" s="21" t="inlineStr">
        <is>
          <t>osmFISH</t>
        </is>
      </c>
      <c r="H32" s="21" t="inlineStr">
        <is>
          <t>体感皮层</t>
        </is>
      </c>
      <c r="I32" s="76" t="inlineStr">
        <is>
          <t>鼠</t>
        </is>
      </c>
      <c r="J32" s="76" t="inlineStr">
        <is>
          <t>MHF6-0</t>
        </is>
      </c>
      <c r="K32" t="n">
        <v>3654</v>
      </c>
      <c r="L32" t="inlineStr">
        <is>
          <t>8-0-2&gt;7k</t>
        </is>
      </c>
      <c r="T32" s="4" t="n"/>
      <c r="X32" s="76" t="n"/>
      <c r="Y32" s="76" t="n"/>
    </row>
    <row r="33">
      <c r="J33" s="26" t="inlineStr">
        <is>
          <t>MHF6-1</t>
        </is>
      </c>
      <c r="K33" t="n">
        <v>3416</v>
      </c>
      <c r="T33" s="4" t="n"/>
      <c r="X33" s="76" t="n"/>
      <c r="Y33" s="76" t="n"/>
    </row>
    <row r="34" ht="16.5" customHeight="1" s="77">
      <c r="A34" s="76" t="inlineStr">
        <is>
          <t>一个LOO</t>
        </is>
      </c>
      <c r="B34" s="78" t="inlineStr">
        <is>
          <t>有图像、无标注</t>
        </is>
      </c>
      <c r="C34" s="23" t="inlineStr">
        <is>
          <t>human_lung_cancer</t>
        </is>
      </c>
      <c r="E34" s="76" t="n">
        <v>3858</v>
      </c>
      <c r="F34" s="76" t="n">
        <v>3000</v>
      </c>
      <c r="G34" s="21" t="inlineStr">
        <is>
          <t>10x Visium</t>
        </is>
      </c>
      <c r="H34" s="21" t="inlineStr">
        <is>
          <t>肺癌</t>
        </is>
      </c>
      <c r="I34" s="76" t="inlineStr">
        <is>
          <t>人</t>
        </is>
      </c>
      <c r="J34" s="26" t="inlineStr">
        <is>
          <t>MHF6-2</t>
        </is>
      </c>
      <c r="K34" t="n">
        <v>3671</v>
      </c>
      <c r="T34" s="4" t="n"/>
      <c r="X34" s="76" t="n"/>
      <c r="Y34" s="76" t="n"/>
    </row>
    <row r="35" ht="16.5" customHeight="1" s="77">
      <c r="C35" s="23" t="inlineStr">
        <is>
          <t>human_ovarian_cancer</t>
        </is>
      </c>
      <c r="E35" s="76" t="n">
        <v>3455</v>
      </c>
      <c r="F35" s="76" t="n">
        <v>3000</v>
      </c>
      <c r="G35" s="21" t="inlineStr">
        <is>
          <t>10x Visium</t>
        </is>
      </c>
      <c r="H35" s="21" t="inlineStr">
        <is>
          <t>卵巢癌</t>
        </is>
      </c>
      <c r="I35" s="76" t="inlineStr">
        <is>
          <t>人</t>
        </is>
      </c>
      <c r="J35" s="76" t="n"/>
      <c r="K35" s="76" t="n"/>
      <c r="T35" s="4" t="n"/>
      <c r="X35" s="76" t="n"/>
      <c r="Y35" s="76" t="n"/>
    </row>
    <row r="36">
      <c r="J36" s="76" t="n"/>
      <c r="K36" s="76" t="n"/>
      <c r="T36" s="4" t="n"/>
      <c r="X36" s="76" t="n"/>
      <c r="Y36" s="76" t="n"/>
    </row>
    <row r="37" ht="16.5" customHeight="1" s="77">
      <c r="B37" s="78" t="inlineStr">
        <is>
          <t>有图像、有标注</t>
        </is>
      </c>
      <c r="C37" s="22" t="inlineStr">
        <is>
          <t>DLPFC</t>
        </is>
      </c>
      <c r="D37" s="17" t="inlineStr">
        <is>
          <t>5-7</t>
        </is>
      </c>
      <c r="E37" s="18" t="n">
        <v>47781</v>
      </c>
      <c r="F37" s="18" t="n">
        <v>3000</v>
      </c>
      <c r="G37" s="21" t="inlineStr">
        <is>
          <t>10x Visium</t>
        </is>
      </c>
      <c r="H37" s="24" t="inlineStr">
        <is>
          <t>背外侧前额叶皮层</t>
        </is>
      </c>
      <c r="I37" s="76" t="inlineStr">
        <is>
          <t>人</t>
        </is>
      </c>
      <c r="J37" s="27" t="inlineStr">
        <is>
          <t>DLPFC151509</t>
        </is>
      </c>
      <c r="K37" s="76" t="n">
        <v>4789</v>
      </c>
      <c r="L37" t="inlineStr">
        <is>
          <t>Donor1-最后</t>
        </is>
      </c>
      <c r="T37" s="4" t="n"/>
      <c r="X37" s="76" t="n"/>
      <c r="Y37" s="76" t="n"/>
    </row>
    <row r="38" ht="16.5" customHeight="1" s="77">
      <c r="C38" s="23" t="inlineStr">
        <is>
          <t>Breast_Cancer</t>
        </is>
      </c>
      <c r="D38" s="76" t="n">
        <v>20</v>
      </c>
      <c r="E38" s="76" t="n">
        <v>3798</v>
      </c>
      <c r="F38" s="76" t="n">
        <v>2253</v>
      </c>
      <c r="G38" s="21" t="inlineStr">
        <is>
          <t>10x Visium</t>
        </is>
      </c>
      <c r="H38" s="24" t="inlineStr">
        <is>
          <t>乳腺癌</t>
        </is>
      </c>
      <c r="I38" s="76" t="inlineStr">
        <is>
          <t>人</t>
        </is>
      </c>
      <c r="J38" s="76" t="inlineStr">
        <is>
          <t>DLPFC151510</t>
        </is>
      </c>
      <c r="K38" s="76" t="n">
        <v>4634</v>
      </c>
      <c r="T38" s="4" t="n"/>
      <c r="X38" s="76" t="n"/>
      <c r="Y38" s="76" t="n"/>
    </row>
    <row r="39" ht="16.5" customHeight="1" s="77">
      <c r="C39" s="23" t="inlineStr">
        <is>
          <t>Mouse_anterior_brain</t>
        </is>
      </c>
      <c r="D39" s="76" t="n">
        <v>52</v>
      </c>
      <c r="E39" s="76" t="n">
        <v>2695</v>
      </c>
      <c r="F39" s="76" t="n">
        <v>2413</v>
      </c>
      <c r="G39" s="21" t="inlineStr">
        <is>
          <t>10x Visium</t>
        </is>
      </c>
      <c r="H39" s="24" t="inlineStr">
        <is>
          <t>前脑</t>
        </is>
      </c>
      <c r="I39" s="76" t="inlineStr">
        <is>
          <t>鼠</t>
        </is>
      </c>
      <c r="J39" s="76" t="inlineStr">
        <is>
          <t>DLPFC151675</t>
        </is>
      </c>
      <c r="K39" s="76" t="n">
        <v>3592</v>
      </c>
      <c r="L39" t="inlineStr">
        <is>
          <t>Donor3-最后</t>
        </is>
      </c>
      <c r="T39" s="4" t="n"/>
      <c r="X39" s="76" t="n"/>
      <c r="Y39" s="76" t="n"/>
    </row>
    <row r="40" ht="16.5" customHeight="1" s="77">
      <c r="C40" s="23" t="inlineStr">
        <is>
          <t>STARmap</t>
        </is>
      </c>
      <c r="D40" s="76" t="n">
        <v>7</v>
      </c>
      <c r="E40" s="76" t="n">
        <v>817</v>
      </c>
      <c r="F40" s="76" t="n">
        <v>999</v>
      </c>
      <c r="G40" s="21" t="inlineStr">
        <is>
          <t>STARmap</t>
        </is>
      </c>
      <c r="H40" s="21" t="inlineStr">
        <is>
          <t>视觉皮层</t>
        </is>
      </c>
      <c r="I40" s="76" t="inlineStr">
        <is>
          <t>鼠</t>
        </is>
      </c>
      <c r="J40" s="76" t="inlineStr">
        <is>
          <t>DLPFC151676</t>
        </is>
      </c>
      <c r="K40" s="76" t="n">
        <v>3460</v>
      </c>
      <c r="T40" s="4" t="n"/>
      <c r="X40" s="76" t="n"/>
      <c r="Y40" s="76" t="n"/>
    </row>
    <row r="41">
      <c r="J41" s="76" t="inlineStr">
        <is>
          <t>DLPFC151669</t>
        </is>
      </c>
      <c r="K41" s="76" t="n">
        <v>3661</v>
      </c>
      <c r="L41" t="inlineStr">
        <is>
          <t>Donor2-1</t>
        </is>
      </c>
    </row>
  </sheetData>
  <mergeCells count="7">
    <mergeCell ref="A30:A32"/>
    <mergeCell ref="B30:B32"/>
    <mergeCell ref="A34:A39"/>
    <mergeCell ref="B37:B40"/>
    <mergeCell ref="B34:B35"/>
    <mergeCell ref="L37:L38"/>
    <mergeCell ref="L39:L4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4"/>
  <sheetViews>
    <sheetView topLeftCell="A21" workbookViewId="0">
      <selection activeCell="J20" sqref="J20"/>
    </sheetView>
  </sheetViews>
  <sheetFormatPr baseColWidth="8" defaultRowHeight="14"/>
  <cols>
    <col width="16.5" customWidth="1" style="77" min="1" max="1"/>
    <col width="13.08203125" customWidth="1" style="77" min="2" max="2"/>
    <col width="12.4140625" customWidth="1" style="77" min="3" max="3"/>
    <col width="14.33203125" customWidth="1" style="77" min="4" max="4"/>
  </cols>
  <sheetData>
    <row r="1">
      <c r="A1" t="inlineStr">
        <is>
          <t>只在DLPFC上做LOO</t>
        </is>
      </c>
    </row>
    <row r="2">
      <c r="A2" t="inlineStr">
        <is>
          <t>切片</t>
        </is>
      </c>
      <c r="B2" t="inlineStr">
        <is>
          <t>未见该切片</t>
        </is>
      </c>
      <c r="C2" t="inlineStr">
        <is>
          <t>见过全部</t>
        </is>
      </c>
      <c r="D2" t="inlineStr">
        <is>
          <t>Single</t>
        </is>
      </c>
      <c r="E2" t="inlineStr">
        <is>
          <t>绝对差值</t>
        </is>
      </c>
      <c r="F2" t="inlineStr">
        <is>
          <t>相当差值</t>
        </is>
      </c>
    </row>
    <row r="3" ht="17" customHeight="1" s="77" thickBot="1">
      <c r="A3" s="28" t="inlineStr">
        <is>
          <t>DLPFC/151670</t>
        </is>
      </c>
      <c r="B3" s="30" t="n">
        <v>0.704</v>
      </c>
      <c r="C3" s="30" t="n">
        <v>0.8120000000000001</v>
      </c>
      <c r="D3" s="76" t="inlineStr">
        <is>
          <t>0.8250(0.0257)</t>
        </is>
      </c>
      <c r="E3" s="30" t="n">
        <v>-0.108</v>
      </c>
      <c r="F3" s="31" t="n">
        <v>-0.133</v>
      </c>
      <c r="H3" s="76" t="n"/>
    </row>
    <row r="4" ht="17" customHeight="1" s="77" thickBot="1">
      <c r="A4" s="28" t="inlineStr">
        <is>
          <t>DLPFC/151671</t>
        </is>
      </c>
      <c r="B4" s="30" t="n">
        <v>0.76</v>
      </c>
      <c r="C4" s="30" t="n">
        <v>0.834</v>
      </c>
      <c r="D4" s="76" t="inlineStr">
        <is>
          <t>0.8360(0.0125)</t>
        </is>
      </c>
      <c r="E4" s="30" t="n">
        <v>-0.074</v>
      </c>
      <c r="F4" s="31" t="n">
        <v>-0.089</v>
      </c>
      <c r="H4" s="76" t="n"/>
    </row>
    <row r="6">
      <c r="A6" s="10" t="inlineStr">
        <is>
          <t>DLPFC/151509</t>
        </is>
      </c>
    </row>
    <row r="7">
      <c r="A7" s="76" t="inlineStr">
        <is>
          <t>DLPFC/151507</t>
        </is>
      </c>
    </row>
    <row r="11"/>
    <row r="12" ht="49.5" customHeight="1" s="77">
      <c r="A12" s="32" t="inlineStr">
        <is>
          <t>切片</t>
        </is>
      </c>
      <c r="B12" s="33" t="inlineStr">
        <is>
          <t>MFC LOO（仅 MFC 内）</t>
        </is>
      </c>
      <c r="C12" s="33" t="inlineStr">
        <is>
          <t>LOO</t>
        </is>
      </c>
      <c r="D12" s="33" t="inlineStr">
        <is>
          <t>Single</t>
        </is>
      </c>
      <c r="E12" s="34" t="inlineStr">
        <is>
          <t>LOO vs 共享</t>
        </is>
      </c>
      <c r="F12" s="34" t="inlineStr">
        <is>
          <t>LOO vs per-dataset</t>
        </is>
      </c>
      <c r="G12" s="33" t="inlineStr">
        <is>
          <t>PCA</t>
        </is>
      </c>
      <c r="H12" s="39" t="inlineStr">
        <is>
          <t>Δ-Single</t>
        </is>
      </c>
      <c r="I12" s="39" t="inlineStr">
        <is>
          <t>Δ-LOO</t>
        </is>
      </c>
    </row>
    <row r="13" ht="17" customHeight="1" s="77" thickBot="1">
      <c r="A13" s="28" t="inlineStr">
        <is>
          <t>4_0</t>
        </is>
      </c>
      <c r="B13" s="29" t="n">
        <v>0.491</v>
      </c>
      <c r="C13" s="30" t="n">
        <v>0.613</v>
      </c>
      <c r="D13" s="30" t="n">
        <v>0.771</v>
      </c>
      <c r="E13" s="35" t="n">
        <v>-0.199</v>
      </c>
      <c r="F13" s="35" t="n">
        <v>-0.363</v>
      </c>
      <c r="G13" t="n">
        <v>0.29259</v>
      </c>
      <c r="H13">
        <f>B13-D13</f>
        <v/>
      </c>
      <c r="I13">
        <f>B13-C13</f>
        <v/>
      </c>
      <c r="M13" s="76" t="inlineStr">
        <is>
          <t>Single</t>
        </is>
      </c>
      <c r="N13" s="76" t="inlineStr">
        <is>
          <t>8_1, 6_0, 6_2, 4_2,4_0, 8_2,6_1,4_1,8_0</t>
        </is>
      </c>
    </row>
    <row r="14" ht="17" customHeight="1" s="77" thickBot="1">
      <c r="A14" s="28" t="inlineStr">
        <is>
          <t>4_1</t>
        </is>
      </c>
      <c r="B14" s="29" t="n">
        <v>0.705</v>
      </c>
      <c r="C14" s="30" t="n">
        <v>0.869</v>
      </c>
      <c r="D14" s="30" t="n">
        <v>0.846</v>
      </c>
      <c r="E14" s="35" t="n">
        <v>-0.189</v>
      </c>
      <c r="F14" s="35" t="n">
        <v>-0.167</v>
      </c>
      <c r="G14" t="n">
        <v>0.48547</v>
      </c>
      <c r="H14">
        <f>B14-D14</f>
        <v/>
      </c>
      <c r="I14">
        <f>B14-C14</f>
        <v/>
      </c>
      <c r="M14" s="76" t="inlineStr">
        <is>
          <t>LOO</t>
        </is>
      </c>
      <c r="N14" s="76" t="inlineStr">
        <is>
          <t>4_0,6_0,6_2,8_1,6_1,8_2,4_2,4_1,8_0</t>
        </is>
      </c>
    </row>
    <row r="15" ht="17" customHeight="1" s="77" thickBot="1">
      <c r="A15" s="28" t="inlineStr">
        <is>
          <t>4_2</t>
        </is>
      </c>
      <c r="B15" s="29" t="n">
        <v>0.743</v>
      </c>
      <c r="C15" s="30" t="n">
        <v>0.797</v>
      </c>
      <c r="D15" s="30" t="n">
        <v>0.771</v>
      </c>
      <c r="E15" s="35" t="n">
        <v>-0.068</v>
      </c>
      <c r="F15" s="35" t="n">
        <v>-0.036</v>
      </c>
      <c r="G15" t="n">
        <v>0.48646</v>
      </c>
      <c r="H15" s="56">
        <f>B15-D15</f>
        <v/>
      </c>
      <c r="I15">
        <f>B15-C15</f>
        <v/>
      </c>
      <c r="M15" s="76" t="inlineStr">
        <is>
          <t>MFC LOO</t>
        </is>
      </c>
      <c r="N15" s="76" t="inlineStr">
        <is>
          <t>4_0, 6-2，6_0，6_1，8_1，4_1,8_2,4_2,8_0</t>
        </is>
      </c>
    </row>
    <row r="16" ht="17" customHeight="1" s="77" thickBot="1">
      <c r="A16" s="28" t="inlineStr">
        <is>
          <t>6_0</t>
        </is>
      </c>
      <c r="B16" s="29" t="n">
        <v>0.605</v>
      </c>
      <c r="C16" s="30" t="n">
        <v>0.646</v>
      </c>
      <c r="D16" s="30" t="n">
        <v>0.738</v>
      </c>
      <c r="E16" s="35" t="n">
        <v>-0.063</v>
      </c>
      <c r="F16" s="35" t="n">
        <v>-0.18</v>
      </c>
      <c r="G16" t="n">
        <v>0.24293</v>
      </c>
      <c r="H16">
        <f>B16-D16</f>
        <v/>
      </c>
      <c r="I16" s="56">
        <f>B16-C16</f>
        <v/>
      </c>
    </row>
    <row r="17" ht="17" customHeight="1" s="77" thickBot="1">
      <c r="A17" s="28" t="inlineStr">
        <is>
          <t>6_1</t>
        </is>
      </c>
      <c r="B17" s="29" t="n">
        <v>0.635</v>
      </c>
      <c r="C17" s="30" t="n">
        <v>0.753</v>
      </c>
      <c r="D17" s="30" t="n">
        <v>0.839</v>
      </c>
      <c r="E17" s="35" t="n">
        <v>-0.157</v>
      </c>
      <c r="F17" s="35" t="n">
        <v>-0.243</v>
      </c>
      <c r="G17" t="n">
        <v>0.44179</v>
      </c>
      <c r="H17">
        <f>B17-D17</f>
        <v/>
      </c>
      <c r="I17">
        <f>B17-C17</f>
        <v/>
      </c>
    </row>
    <row r="18" ht="17" customHeight="1" s="77" thickBot="1">
      <c r="A18" s="28" t="inlineStr">
        <is>
          <t>6_2</t>
        </is>
      </c>
      <c r="B18" s="29" t="n">
        <v>0.53</v>
      </c>
      <c r="C18" s="30" t="n">
        <v>0.674</v>
      </c>
      <c r="D18" s="30" t="n">
        <v>0.757</v>
      </c>
      <c r="E18" s="35" t="n">
        <v>-0.214</v>
      </c>
      <c r="F18" s="35" t="n">
        <v>-0.3</v>
      </c>
      <c r="G18" t="n">
        <v>0.35279</v>
      </c>
      <c r="H18">
        <f>B18-D18</f>
        <v/>
      </c>
      <c r="I18">
        <f>B18-C18</f>
        <v/>
      </c>
    </row>
    <row r="19" ht="17" customHeight="1" s="77" thickBot="1">
      <c r="A19" s="28" t="inlineStr">
        <is>
          <t>8_0</t>
        </is>
      </c>
      <c r="B19" s="29" t="n">
        <v>0.824</v>
      </c>
      <c r="C19" s="30" t="n">
        <v>0.892</v>
      </c>
      <c r="D19" s="30" t="n">
        <v>0.892</v>
      </c>
      <c r="E19" s="35" t="n">
        <v>-0.076</v>
      </c>
      <c r="F19" s="35" t="n">
        <v>-0.076</v>
      </c>
      <c r="G19" t="n">
        <v>0.52938</v>
      </c>
      <c r="H19">
        <f>B19-D19</f>
        <v/>
      </c>
      <c r="I19">
        <f>B19-C19</f>
        <v/>
      </c>
    </row>
    <row r="20" ht="17" customHeight="1" s="77" thickBot="1">
      <c r="A20" s="28" t="inlineStr">
        <is>
          <t>8_1</t>
        </is>
      </c>
      <c r="B20" s="29" t="n">
        <v>0.681</v>
      </c>
      <c r="C20" s="30" t="n">
        <v>0.707</v>
      </c>
      <c r="D20" s="30" t="n">
        <v>0.721</v>
      </c>
      <c r="E20" s="35" t="n">
        <v>-0.037</v>
      </c>
      <c r="F20" s="35" t="n">
        <v>-0.055</v>
      </c>
      <c r="G20" t="n">
        <v>0.42932</v>
      </c>
      <c r="H20" s="56">
        <f>B20-D20</f>
        <v/>
      </c>
      <c r="I20" s="56">
        <f>B20-C20</f>
        <v/>
      </c>
    </row>
    <row r="21" ht="17" customHeight="1" s="77" thickBot="1">
      <c r="A21" s="36" t="inlineStr">
        <is>
          <t>8_2</t>
        </is>
      </c>
      <c r="B21" s="29" t="n">
        <v>0.72</v>
      </c>
      <c r="C21" s="30" t="n">
        <v>0.78</v>
      </c>
      <c r="D21" s="30" t="n">
        <v>0.8129999999999999</v>
      </c>
      <c r="E21" s="35" t="n">
        <v>-0.077</v>
      </c>
      <c r="F21" s="35" t="n">
        <v>-0.114</v>
      </c>
      <c r="G21" t="n">
        <v>0.41933</v>
      </c>
      <c r="H21">
        <f>B21-D21</f>
        <v/>
      </c>
      <c r="I21">
        <f>B21-C21</f>
        <v/>
      </c>
    </row>
    <row r="22" ht="17" customHeight="1" s="77" thickBot="1">
      <c r="A22" s="36" t="inlineStr">
        <is>
          <t>平均</t>
        </is>
      </c>
      <c r="B22" s="29" t="n">
        <v>0.659</v>
      </c>
      <c r="C22" s="29" t="n">
        <v>0.748</v>
      </c>
      <c r="D22" s="29" t="n">
        <v>0.794</v>
      </c>
      <c r="E22" s="37" t="n">
        <v>-0.12</v>
      </c>
      <c r="F22" s="37" t="n">
        <v>-0.17</v>
      </c>
    </row>
    <row r="25">
      <c r="A25" t="inlineStr">
        <is>
          <t>同平台同组织，不同个体迁移</t>
        </is>
      </c>
    </row>
    <row r="26" ht="16" customHeight="1" s="77">
      <c r="A26" s="38" t="inlineStr">
        <is>
          <t>DLPFC排除个体</t>
        </is>
      </c>
      <c r="B26" s="39" t="inlineStr">
        <is>
          <t>Subject-LOO</t>
        </is>
      </c>
      <c r="C26" s="39" t="inlineStr">
        <is>
          <t>Single</t>
        </is>
      </c>
      <c r="D26" s="39" t="inlineStr">
        <is>
          <t>Δ-Single</t>
        </is>
      </c>
      <c r="E26" s="38" t="inlineStr">
        <is>
          <t>切片</t>
        </is>
      </c>
      <c r="F26" s="39" t="inlineStr">
        <is>
          <t>LOO</t>
        </is>
      </c>
      <c r="G26" t="inlineStr">
        <is>
          <t>Δ-LOO</t>
        </is>
      </c>
      <c r="H26" s="39" t="inlineStr">
        <is>
          <t>PCA</t>
        </is>
      </c>
    </row>
    <row r="27" ht="32.5" customHeight="1" s="77" thickBot="1">
      <c r="A27" s="40" t="inlineStr">
        <is>
          <t>Donor1</t>
        </is>
      </c>
      <c r="B27" s="41" t="n">
        <v>0.532</v>
      </c>
      <c r="C27" s="42" t="n">
        <v>0.703</v>
      </c>
      <c r="D27" s="42" t="inlineStr">
        <is>
          <t>−0.171</t>
        </is>
      </c>
      <c r="E27" s="43" t="inlineStr">
        <is>
          <t>151507–151510</t>
        </is>
      </c>
      <c r="F27" t="n">
        <v>0.627475</v>
      </c>
      <c r="G27">
        <f>B27-F27</f>
        <v/>
      </c>
      <c r="H27" t="n">
        <v>0.3023074999999997</v>
      </c>
    </row>
    <row r="28" ht="32.5" customHeight="1" s="77" thickBot="1">
      <c r="A28" s="43" t="inlineStr">
        <is>
          <t>Donor2</t>
        </is>
      </c>
      <c r="B28" s="42" t="n">
        <v>0.694</v>
      </c>
      <c r="C28" s="42" t="n">
        <v>0.827</v>
      </c>
      <c r="D28" s="42" t="inlineStr">
        <is>
          <t>−0.133</t>
        </is>
      </c>
      <c r="E28" s="43" t="inlineStr">
        <is>
          <t>151669–151672</t>
        </is>
      </c>
      <c r="F28" t="n">
        <v>0.8022275000000001</v>
      </c>
      <c r="G28">
        <f>B28-F28</f>
        <v/>
      </c>
      <c r="H28" t="n">
        <v>0.391335</v>
      </c>
    </row>
    <row r="29" ht="32.5" customHeight="1" s="77" thickBot="1">
      <c r="A29" s="44" t="inlineStr">
        <is>
          <t>Donor3</t>
        </is>
      </c>
      <c r="B29" s="45" t="n">
        <v>0.594</v>
      </c>
      <c r="C29" s="45" t="n">
        <v>0.6889999999999999</v>
      </c>
      <c r="D29" s="45" t="inlineStr">
        <is>
          <t>−0.095</t>
        </is>
      </c>
      <c r="E29" s="44" t="inlineStr">
        <is>
          <t>151673–151676</t>
        </is>
      </c>
      <c r="F29" t="n">
        <v>0.6597499999999999</v>
      </c>
      <c r="G29">
        <f>B29-F29</f>
        <v/>
      </c>
      <c r="H29" t="n">
        <v>0.2723649999999997</v>
      </c>
    </row>
    <row r="30">
      <c r="A30" s="46" t="n"/>
      <c r="B30" s="46" t="n"/>
      <c r="C30" s="46" t="n"/>
      <c r="D30" s="46" t="n"/>
      <c r="E30" s="46" t="n"/>
      <c r="K30" s="76" t="n"/>
      <c r="L30" s="76" t="n"/>
    </row>
    <row r="31" ht="16" customHeight="1" s="77">
      <c r="A31" s="38" t="inlineStr">
        <is>
          <t>MFC排除个体</t>
        </is>
      </c>
      <c r="B31" s="47" t="inlineStr">
        <is>
          <t>年龄</t>
        </is>
      </c>
      <c r="C31" s="38" t="inlineStr">
        <is>
          <t>Subject-LOO</t>
        </is>
      </c>
      <c r="D31" s="39" t="inlineStr">
        <is>
          <t>Single</t>
        </is>
      </c>
      <c r="E31" s="39" t="inlineStr">
        <is>
          <t>Δ-Single</t>
        </is>
      </c>
      <c r="F31" t="inlineStr">
        <is>
          <t>LOO</t>
        </is>
      </c>
      <c r="G31" t="inlineStr">
        <is>
          <t>Δ-LOO</t>
        </is>
      </c>
      <c r="H31" t="inlineStr">
        <is>
          <t>PCA</t>
        </is>
      </c>
      <c r="I31" s="52" t="inlineStr">
        <is>
          <t>MFC-LOO</t>
        </is>
      </c>
      <c r="J31" s="52" t="inlineStr">
        <is>
          <t>Δ-MFC-LOO</t>
        </is>
      </c>
      <c r="K31" s="76" t="n"/>
      <c r="L31" s="76" t="n"/>
    </row>
    <row r="32" ht="16.5" customHeight="1" s="77" thickBot="1">
      <c r="A32" s="43" t="inlineStr">
        <is>
          <t>Subject4</t>
        </is>
      </c>
      <c r="B32" s="48" t="inlineStr">
        <is>
          <t>4wk</t>
        </is>
      </c>
      <c r="C32" s="53" t="n">
        <v>0.638</v>
      </c>
      <c r="D32" s="42" t="n">
        <v>0.776</v>
      </c>
      <c r="E32" s="42" t="inlineStr">
        <is>
          <t>−0.137</t>
        </is>
      </c>
      <c r="F32" t="n">
        <v>0.75965</v>
      </c>
      <c r="G32">
        <f>C32-F32</f>
        <v/>
      </c>
      <c r="H32" t="n">
        <v>0.4215066666666667</v>
      </c>
      <c r="I32" s="57" t="n">
        <v>0.6463333333333333</v>
      </c>
      <c r="J32" s="52">
        <f>C32-I32</f>
        <v/>
      </c>
      <c r="K32" s="76" t="n"/>
      <c r="L32" s="76" t="n"/>
    </row>
    <row r="33" ht="16.5" customHeight="1" s="77" thickBot="1">
      <c r="A33" s="40" t="inlineStr">
        <is>
          <t>Subject6</t>
        </is>
      </c>
      <c r="B33" s="49" t="inlineStr">
        <is>
          <t>90wk</t>
        </is>
      </c>
      <c r="C33" s="54" t="n">
        <v>0.548</v>
      </c>
      <c r="D33" s="42" t="n">
        <v>0.76</v>
      </c>
      <c r="E33" s="41" t="inlineStr">
        <is>
          <t>−0.212</t>
        </is>
      </c>
      <c r="F33" t="n">
        <v>0.6910000000000002</v>
      </c>
      <c r="G33">
        <f>C33-F33</f>
        <v/>
      </c>
      <c r="H33" t="n">
        <v>0.3458366666666666</v>
      </c>
      <c r="I33" s="57" t="n">
        <v>0.59</v>
      </c>
      <c r="J33" s="52">
        <f>C33-I33</f>
        <v/>
      </c>
      <c r="K33" s="76" t="n"/>
    </row>
    <row r="34" ht="16.5" customHeight="1" s="77" thickBot="1">
      <c r="A34" s="44" t="inlineStr">
        <is>
          <t>Subject8</t>
        </is>
      </c>
      <c r="B34" s="50" t="inlineStr">
        <is>
          <t>4wk</t>
        </is>
      </c>
      <c r="C34" s="55" t="n">
        <v>0.723</v>
      </c>
      <c r="D34" s="45" t="n">
        <v>0.82</v>
      </c>
      <c r="E34" s="45" t="inlineStr">
        <is>
          <t>−0.098</t>
        </is>
      </c>
      <c r="F34" t="n">
        <v>0.7929933333333333</v>
      </c>
      <c r="G34">
        <f>C34-F34</f>
        <v/>
      </c>
      <c r="H34" t="n">
        <v>0.4593433333333333</v>
      </c>
      <c r="I34" s="57" t="n">
        <v>0.7416666666666666</v>
      </c>
      <c r="J34" s="52">
        <f>C34-I34</f>
        <v/>
      </c>
    </row>
  </sheetData>
  <mergeCells count="3">
    <mergeCell ref="A11:F11"/>
    <mergeCell ref="A1:F1"/>
    <mergeCell ref="A25:F2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5"/>
  <sheetViews>
    <sheetView topLeftCell="A4" workbookViewId="0">
      <selection activeCell="G13" sqref="G13"/>
    </sheetView>
  </sheetViews>
  <sheetFormatPr baseColWidth="8" defaultRowHeight="14"/>
  <cols>
    <col width="30" customWidth="1" style="77" min="1" max="1"/>
    <col width="25.6640625" customWidth="1" style="77" min="2" max="2"/>
    <col width="32.1640625" customWidth="1" style="77" min="10" max="10"/>
    <col width="16.75" customWidth="1" style="77" min="11" max="11"/>
    <col width="12.1640625" customWidth="1" style="77" min="12" max="12"/>
    <col width="19.83203125" customWidth="1" style="77" min="13" max="13"/>
    <col width="10.9140625" customWidth="1" style="77" min="14" max="14"/>
  </cols>
  <sheetData>
    <row r="1">
      <c r="A1" t="inlineStr">
        <is>
          <t>Visium数据做预训练，其他平台数据做任务适配</t>
        </is>
      </c>
    </row>
    <row r="2">
      <c r="B2" t="inlineStr">
        <is>
          <t>Visium训练</t>
        </is>
      </c>
      <c r="C2" t="inlineStr">
        <is>
          <t>原生？</t>
        </is>
      </c>
      <c r="F2" t="inlineStr">
        <is>
          <t>Single</t>
        </is>
      </c>
      <c r="G2" t="inlineStr">
        <is>
          <t>LOO</t>
        </is>
      </c>
    </row>
    <row r="3" ht="17" customHeight="1" s="77" thickBot="1">
      <c r="A3" s="28" t="inlineStr">
        <is>
          <t>MERFISH_frontal_cortex/8_0</t>
        </is>
      </c>
      <c r="B3" s="29" t="n">
        <v>0.604</v>
      </c>
      <c r="C3" s="29" t="n">
        <v>0.866</v>
      </c>
      <c r="D3" s="30" t="n">
        <v>-0.262</v>
      </c>
      <c r="E3" s="31" t="n">
        <v>-0.302</v>
      </c>
      <c r="F3" s="76" t="n">
        <v>0.892019999999999</v>
      </c>
      <c r="G3" s="76" t="n">
        <v>0.89201</v>
      </c>
      <c r="J3" s="52" t="inlineStr">
        <is>
          <t>？？？</t>
        </is>
      </c>
    </row>
    <row r="4" ht="17" customHeight="1" s="77" thickBot="1">
      <c r="A4" s="28" t="inlineStr">
        <is>
          <t>MERFISH（hypothalamic POA）</t>
        </is>
      </c>
      <c r="B4" s="29" t="n">
        <v>0.527</v>
      </c>
      <c r="C4" s="29" t="n">
        <v>0.753</v>
      </c>
      <c r="D4" s="30" t="n">
        <v>-0.226</v>
      </c>
      <c r="E4" s="31" t="n">
        <v>-0.3</v>
      </c>
      <c r="F4" s="14" t="n">
        <v>0.66896</v>
      </c>
      <c r="G4" s="14" t="n">
        <v>0.77899</v>
      </c>
    </row>
    <row r="5" ht="17" customHeight="1" s="77" thickBot="1">
      <c r="A5" s="28" t="inlineStr">
        <is>
          <t>osmFISH</t>
        </is>
      </c>
      <c r="B5" s="29" t="n">
        <v>0.439</v>
      </c>
      <c r="C5" s="29" t="n">
        <v>0.472</v>
      </c>
      <c r="D5" s="30" t="n">
        <v>-0.033</v>
      </c>
      <c r="E5" s="31" t="n">
        <v>-0.07000000000000001</v>
      </c>
      <c r="F5" s="76" t="n">
        <v>0.43605</v>
      </c>
      <c r="G5" s="76" t="n">
        <v>0.43296</v>
      </c>
    </row>
    <row r="7">
      <c r="A7" s="11" t="inlineStr">
        <is>
          <t>MERFISH_frontal_cortex/4_0</t>
        </is>
      </c>
      <c r="F7" s="10" t="n">
        <v>0.77096</v>
      </c>
      <c r="G7" s="10" t="n">
        <v>0.61298</v>
      </c>
    </row>
    <row r="8">
      <c r="A8" s="10" t="inlineStr">
        <is>
          <t>MERFISH_frontal_cortex/6_0</t>
        </is>
      </c>
      <c r="F8" s="10" t="n">
        <v>0.738</v>
      </c>
      <c r="G8" s="10" t="n">
        <v>0.646</v>
      </c>
    </row>
    <row r="11">
      <c r="A11" t="inlineStr">
        <is>
          <t>跨平台跨组织？？？</t>
        </is>
      </c>
      <c r="B11" t="inlineStr">
        <is>
          <t>top5</t>
        </is>
      </c>
      <c r="L11" t="inlineStr">
        <is>
          <t>一个组织2另一个组织</t>
        </is>
      </c>
    </row>
    <row r="12">
      <c r="A12" s="58" t="inlineStr">
        <is>
          <t>training集</t>
        </is>
      </c>
      <c r="B12" s="59" t="inlineStr">
        <is>
          <t>test集</t>
        </is>
      </c>
      <c r="C12" s="59" t="inlineStr">
        <is>
          <t>ARI</t>
        </is>
      </c>
      <c r="D12" s="59" t="inlineStr">
        <is>
          <t>LOO</t>
        </is>
      </c>
      <c r="E12" s="59" t="inlineStr">
        <is>
          <t>Single</t>
        </is>
      </c>
      <c r="F12" s="59" t="inlineStr">
        <is>
          <t>Δ-LOO</t>
        </is>
      </c>
      <c r="G12" s="59" t="inlineStr">
        <is>
          <t>Δ-single</t>
        </is>
      </c>
      <c r="H12" s="59" t="inlineStr">
        <is>
          <t>PCA</t>
        </is>
      </c>
      <c r="K12" s="59" t="inlineStr">
        <is>
          <t>同平台同组织</t>
        </is>
      </c>
      <c r="L12" s="59" t="inlineStr">
        <is>
          <t>同平台跨组织</t>
        </is>
      </c>
      <c r="M12" s="59" t="inlineStr">
        <is>
          <t>跨平台同组织</t>
        </is>
      </c>
      <c r="N12" s="59" t="inlineStr">
        <is>
          <t>跨平台跨组织</t>
        </is>
      </c>
    </row>
    <row r="13" ht="18.5" customHeight="1" s="77" thickBot="1">
      <c r="A13" s="43" t="inlineStr">
        <is>
          <t>MFC_all（MERFISH 鼠脑）</t>
        </is>
      </c>
      <c r="B13" s="42" t="inlineStr">
        <is>
          <t>DLPFC/151671（Visium 人脑）</t>
        </is>
      </c>
      <c r="C13" s="82" t="n">
        <v>0.8120000000000001</v>
      </c>
      <c r="D13" s="83" t="n">
        <v>0.82966</v>
      </c>
      <c r="E13" s="83" t="n">
        <v>0.836019999999999</v>
      </c>
      <c r="F13" s="84">
        <f>C13-D13</f>
        <v/>
      </c>
      <c r="G13" s="84">
        <f>C13-E13</f>
        <v/>
      </c>
      <c r="H13" s="76" t="n">
        <v>0.37905</v>
      </c>
      <c r="J13" s="42" t="inlineStr">
        <is>
          <t>DLPFC/151671（Visium 人脑）</t>
        </is>
      </c>
      <c r="K13" s="73" t="n">
        <v>0.76</v>
      </c>
      <c r="L13" s="42" t="n">
        <v>0.662</v>
      </c>
      <c r="N13" s="82" t="inlineStr">
        <is>
          <t>0.812,0.738</t>
        </is>
      </c>
    </row>
    <row r="14" ht="17" customHeight="1" s="77" thickBot="1">
      <c r="A14" s="43" t="inlineStr">
        <is>
          <t>osmFISH</t>
        </is>
      </c>
      <c r="B14" s="42" t="inlineStr">
        <is>
          <t>DLPFC/151671</t>
        </is>
      </c>
      <c r="C14" s="85" t="n">
        <v>0.738</v>
      </c>
      <c r="D14" s="86" t="n">
        <v>0.82996</v>
      </c>
      <c r="E14" s="86" t="n">
        <v>0.836019999999999</v>
      </c>
      <c r="F14" s="87">
        <f>C14-D14</f>
        <v/>
      </c>
      <c r="G14" s="87">
        <f>C14-E14</f>
        <v/>
      </c>
      <c r="H14" s="76" t="n">
        <v>0.37905</v>
      </c>
      <c r="I14" s="88" t="n"/>
      <c r="J14" s="42" t="inlineStr">
        <is>
          <t>DLPFC/151670</t>
        </is>
      </c>
      <c r="K14" s="73" t="n">
        <v>0.704</v>
      </c>
      <c r="L14" s="41" t="n">
        <v>0.718</v>
      </c>
      <c r="N14" s="85" t="n">
        <v>0.6899999999999999</v>
      </c>
    </row>
    <row r="15" ht="16.5" customHeight="1" s="77" thickBot="1">
      <c r="A15" s="43" t="inlineStr">
        <is>
          <t>DLPFC</t>
        </is>
      </c>
      <c r="B15" s="42" t="inlineStr">
        <is>
          <t>MFC/8_0（鼠前额叶）</t>
        </is>
      </c>
      <c r="C15" s="85" t="n">
        <v>0.71</v>
      </c>
      <c r="D15" s="86" t="n">
        <v>0.89201</v>
      </c>
      <c r="E15" s="86" t="n">
        <v>0.892019999999999</v>
      </c>
      <c r="F15" s="87">
        <f>C15-D15</f>
        <v/>
      </c>
      <c r="G15" s="87">
        <f>C15-E15</f>
        <v/>
      </c>
      <c r="H15" s="76" t="n">
        <v>0.52938</v>
      </c>
      <c r="J15" s="42" t="inlineStr">
        <is>
          <t>Breast_Cancer（Visium人乳腺）</t>
        </is>
      </c>
      <c r="L15" s="42" t="n">
        <v>0.534</v>
      </c>
    </row>
    <row r="16" ht="16.5" customHeight="1" s="77" thickBot="1">
      <c r="A16" s="43" t="inlineStr">
        <is>
          <t>osmFISH</t>
        </is>
      </c>
      <c r="B16" s="42" t="inlineStr">
        <is>
          <t>DLPFC/151670</t>
        </is>
      </c>
      <c r="C16" s="85" t="n">
        <v>0.6899999999999999</v>
      </c>
      <c r="D16" s="86" t="n">
        <v>0.837</v>
      </c>
      <c r="E16" s="86" t="n">
        <v>0.82504</v>
      </c>
      <c r="F16" s="87">
        <f>C16-D16</f>
        <v/>
      </c>
      <c r="G16" s="87">
        <f>C16-E16</f>
        <v/>
      </c>
      <c r="H16" s="76" t="n">
        <v>0.44059</v>
      </c>
      <c r="J16" s="42" t="inlineStr">
        <is>
          <t>Mouse_anterior_brain（Visium鼠前脑）</t>
        </is>
      </c>
      <c r="L16" s="42" t="inlineStr">
        <is>
          <t>0.501,0.496</t>
        </is>
      </c>
    </row>
    <row r="17" ht="16.5" customHeight="1" s="77" thickBot="1">
      <c r="A17" s="43" t="inlineStr">
        <is>
          <t>Breast_Cancer</t>
        </is>
      </c>
      <c r="B17" s="42" t="inlineStr">
        <is>
          <t>STARmap（鼠视觉皮层）</t>
        </is>
      </c>
      <c r="C17" s="85" t="n">
        <v>0.681</v>
      </c>
      <c r="D17" s="86" t="n">
        <v>0.8799899999999991</v>
      </c>
      <c r="E17" s="86" t="n">
        <v>0.89203</v>
      </c>
      <c r="F17" s="87">
        <f>C17-D17</f>
        <v/>
      </c>
      <c r="G17" s="87">
        <f>C17-E17</f>
        <v/>
      </c>
      <c r="H17" s="76" t="n">
        <v>0.06991</v>
      </c>
      <c r="J17" s="72" t="inlineStr">
        <is>
          <t>MERFISH POA（鼠下丘脑）</t>
        </is>
      </c>
    </row>
    <row r="18" ht="17" customHeight="1" s="77" thickBot="1">
      <c r="A18" s="74" t="inlineStr">
        <is>
          <t>跨平台同器官</t>
        </is>
      </c>
      <c r="F18" s="89" t="n"/>
      <c r="G18" s="87" t="n"/>
      <c r="J18" s="42" t="inlineStr">
        <is>
          <t>MFC/8_0（鼠前额叶）</t>
        </is>
      </c>
      <c r="K18" s="30" t="n">
        <v>0.824</v>
      </c>
      <c r="M18" s="42" t="n">
        <v>0.676</v>
      </c>
      <c r="N18" s="85" t="n">
        <v>0.71</v>
      </c>
    </row>
    <row r="19" ht="17" customHeight="1" s="77" thickBot="1">
      <c r="A19" s="58" t="inlineStr">
        <is>
          <t>training集</t>
        </is>
      </c>
      <c r="B19" s="59" t="inlineStr">
        <is>
          <t>test集</t>
        </is>
      </c>
      <c r="C19" s="59" t="inlineStr">
        <is>
          <t>ARI</t>
        </is>
      </c>
      <c r="D19" s="59" t="inlineStr">
        <is>
          <t>LOO</t>
        </is>
      </c>
      <c r="E19" s="59" t="inlineStr">
        <is>
          <t>Single</t>
        </is>
      </c>
      <c r="F19" s="59" t="inlineStr">
        <is>
          <t>Δ-LOO</t>
        </is>
      </c>
      <c r="G19" s="59" t="inlineStr">
        <is>
          <t>Δ-single</t>
        </is>
      </c>
      <c r="H19" s="59" t="inlineStr">
        <is>
          <t>PCA</t>
        </is>
      </c>
      <c r="J19" s="42" t="inlineStr">
        <is>
          <t>MFC/8_2</t>
        </is>
      </c>
      <c r="K19" s="30" t="n">
        <v>0.72</v>
      </c>
      <c r="M19" s="42" t="n">
        <v>0.476</v>
      </c>
    </row>
    <row r="20" ht="20" customHeight="1" s="77" thickBot="1">
      <c r="A20" s="43" t="inlineStr">
        <is>
          <t>Mouse_anterior_brain（Visium）</t>
        </is>
      </c>
      <c r="B20" s="42" t="inlineStr">
        <is>
          <t>STARmap</t>
        </is>
      </c>
      <c r="C20" s="41" t="n">
        <v>0.676</v>
      </c>
      <c r="D20" s="76" t="n">
        <v>0.8799899999999991</v>
      </c>
      <c r="E20" s="76" t="n">
        <v>0.89203</v>
      </c>
      <c r="F20" s="86">
        <f>C20-D20</f>
        <v/>
      </c>
      <c r="G20" s="86">
        <f>C20-E20</f>
        <v/>
      </c>
      <c r="H20" s="76" t="n">
        <v>0.06991</v>
      </c>
      <c r="J20" s="42" t="inlineStr">
        <is>
          <t>STARmap（鼠视觉皮层）</t>
        </is>
      </c>
      <c r="M20" s="42" t="inlineStr">
        <is>
          <t>0.676,0.579,0.518</t>
        </is>
      </c>
      <c r="N20" t="n">
        <v>0.681</v>
      </c>
    </row>
    <row r="21" ht="16.5" customHeight="1" s="77" thickBot="1">
      <c r="A21" s="43" t="inlineStr">
        <is>
          <t>osmFISH</t>
        </is>
      </c>
      <c r="B21" s="42" t="inlineStr">
        <is>
          <t>MFC/8_0</t>
        </is>
      </c>
      <c r="C21" s="42" t="n">
        <v>0.676</v>
      </c>
      <c r="D21" s="76" t="n">
        <v>0.89201</v>
      </c>
      <c r="E21" s="76" t="n">
        <v>0.892019999999999</v>
      </c>
      <c r="F21" s="87">
        <f>C21-D21</f>
        <v/>
      </c>
      <c r="G21" s="87">
        <f>C21-E21</f>
        <v/>
      </c>
      <c r="H21" s="76" t="n">
        <v>0.52938</v>
      </c>
    </row>
    <row r="22" ht="16.5" customHeight="1" s="77" thickBot="1">
      <c r="A22" s="43" t="inlineStr">
        <is>
          <t>MFC_all</t>
        </is>
      </c>
      <c r="B22" s="42" t="inlineStr">
        <is>
          <t>STARmap</t>
        </is>
      </c>
      <c r="C22" s="42" t="n">
        <v>0.579</v>
      </c>
      <c r="D22" s="76" t="n">
        <v>0.8799899999999991</v>
      </c>
      <c r="E22" s="76" t="n">
        <v>0.89203</v>
      </c>
      <c r="F22" s="87">
        <f>C22-D22</f>
        <v/>
      </c>
      <c r="G22" s="87">
        <f>C22-E22</f>
        <v/>
      </c>
      <c r="H22" s="76" t="n">
        <v>0.06991</v>
      </c>
      <c r="J22" s="79" t="inlineStr">
        <is>
          <t>Q1：同平台跨组织是否应该增加leave-one-out版本？
Q2: 跨平台无同组织的，是否考虑同物种/直接无
Q3:跨平台跨组织，是否考虑</t>
        </is>
      </c>
    </row>
    <row r="23" ht="16.5" customHeight="1" s="77" thickBot="1">
      <c r="A23" s="43" t="inlineStr">
        <is>
          <t>osmFISH</t>
        </is>
      </c>
      <c r="B23" s="42" t="inlineStr">
        <is>
          <t>STARmap</t>
        </is>
      </c>
      <c r="C23" s="42" t="n">
        <v>0.518</v>
      </c>
      <c r="D23" s="76" t="n">
        <v>0.8799899999999991</v>
      </c>
      <c r="E23" s="76" t="n">
        <v>0.89203</v>
      </c>
      <c r="F23" s="87">
        <f>C23-D23</f>
        <v/>
      </c>
      <c r="G23" s="87">
        <f>C23-E23</f>
        <v/>
      </c>
      <c r="H23" s="76" t="n">
        <v>0.06991</v>
      </c>
    </row>
    <row r="24" ht="16.5" customHeight="1" s="77" thickBot="1">
      <c r="A24" s="43" t="inlineStr">
        <is>
          <t>STARmap</t>
        </is>
      </c>
      <c r="B24" s="42" t="inlineStr">
        <is>
          <t>MFC/8_2</t>
        </is>
      </c>
      <c r="C24" s="42" t="n">
        <v>0.476</v>
      </c>
      <c r="D24" s="76" t="n">
        <v>0.77996</v>
      </c>
      <c r="E24" s="76" t="n">
        <v>0.81296</v>
      </c>
      <c r="F24" s="87">
        <f>C24-D24</f>
        <v/>
      </c>
      <c r="G24" s="87">
        <f>C24-E24</f>
        <v/>
      </c>
      <c r="H24" s="76" t="n">
        <v>0.41933</v>
      </c>
    </row>
    <row r="25">
      <c r="A25" s="60" t="inlineStr">
        <is>
          <t>同平台跨组织</t>
        </is>
      </c>
      <c r="F25" s="89" t="n"/>
      <c r="G25" s="87" t="n"/>
    </row>
    <row r="26">
      <c r="A26" s="58" t="inlineStr">
        <is>
          <t>training集</t>
        </is>
      </c>
      <c r="B26" s="59" t="inlineStr">
        <is>
          <t>test集</t>
        </is>
      </c>
      <c r="C26" s="59" t="inlineStr">
        <is>
          <t>ARI</t>
        </is>
      </c>
      <c r="D26" s="59" t="inlineStr">
        <is>
          <t>LOO</t>
        </is>
      </c>
      <c r="E26" s="59" t="inlineStr">
        <is>
          <t>Single</t>
        </is>
      </c>
      <c r="F26" s="59" t="inlineStr">
        <is>
          <t>Δ-LOO</t>
        </is>
      </c>
      <c r="G26" s="59" t="inlineStr">
        <is>
          <t>Δ-single</t>
        </is>
      </c>
      <c r="H26" s="59" t="inlineStr">
        <is>
          <t>PCA</t>
        </is>
      </c>
    </row>
    <row r="27" ht="16.5" customHeight="1" s="77" thickBot="1">
      <c r="A27" s="43" t="inlineStr">
        <is>
          <t>Breast_Cancer（Visium）</t>
        </is>
      </c>
      <c r="B27" s="42" t="inlineStr">
        <is>
          <t>DLPFC/151670</t>
        </is>
      </c>
      <c r="C27" s="41" t="n">
        <v>0.718</v>
      </c>
      <c r="D27" s="76" t="n">
        <v>0.837</v>
      </c>
      <c r="E27" s="76" t="n">
        <v>0.82504</v>
      </c>
      <c r="F27" s="87">
        <f>C27-D27</f>
        <v/>
      </c>
      <c r="G27" s="87">
        <f>C27-E27</f>
        <v/>
      </c>
      <c r="H27" s="76" t="n">
        <v>0.44059</v>
      </c>
    </row>
    <row r="28" ht="16.5" customHeight="1" s="77" thickBot="1">
      <c r="A28" s="43" t="inlineStr">
        <is>
          <t>Breast_Cancer（Visium）</t>
        </is>
      </c>
      <c r="B28" s="42" t="inlineStr">
        <is>
          <t>DLPFC/151671</t>
        </is>
      </c>
      <c r="C28" s="42" t="n">
        <v>0.662</v>
      </c>
      <c r="D28" s="76" t="n">
        <v>0.82996</v>
      </c>
      <c r="E28" s="76" t="n">
        <v>0.836019999999999</v>
      </c>
      <c r="F28" s="87">
        <f>C28-D28</f>
        <v/>
      </c>
      <c r="G28" s="87">
        <f>C28-E28</f>
        <v/>
      </c>
      <c r="H28" s="76" t="n">
        <v>0.37905</v>
      </c>
    </row>
    <row r="29" ht="16.5" customHeight="1" s="77" thickBot="1">
      <c r="A29" s="43" t="inlineStr">
        <is>
          <t>DLPFC</t>
        </is>
      </c>
      <c r="B29" s="42" t="inlineStr">
        <is>
          <t>Breast_Cancer（人乳腺）</t>
        </is>
      </c>
      <c r="C29" s="42" t="n">
        <v>0.534</v>
      </c>
      <c r="D29" s="76" t="n">
        <v>0.69703</v>
      </c>
      <c r="E29" s="76" t="n">
        <v>0.74397</v>
      </c>
      <c r="F29" s="87">
        <f>C29-D29</f>
        <v/>
      </c>
      <c r="G29" s="87">
        <f>C29-E29</f>
        <v/>
      </c>
      <c r="H29" s="69" t="n">
        <v>0.57872</v>
      </c>
    </row>
    <row r="30" ht="16.5" customHeight="1" s="77" thickBot="1">
      <c r="A30" s="43" t="inlineStr">
        <is>
          <t>DLPFC</t>
        </is>
      </c>
      <c r="B30" s="42" t="inlineStr">
        <is>
          <t>Mouse_anterior_brain（鼠前脑）</t>
        </is>
      </c>
      <c r="C30" s="42" t="n">
        <v>0.501</v>
      </c>
      <c r="D30" s="76" t="n">
        <v>0.5460199999999999</v>
      </c>
      <c r="E30" s="76" t="n">
        <v>0.57004</v>
      </c>
      <c r="F30" s="84">
        <f>C30-D30</f>
        <v/>
      </c>
      <c r="G30" s="86">
        <f>C30-E30</f>
        <v/>
      </c>
      <c r="H30" s="76" t="n">
        <v>0.4203</v>
      </c>
    </row>
    <row r="31" ht="16.5" customHeight="1" s="77" thickBot="1">
      <c r="A31" s="43" t="inlineStr">
        <is>
          <t>Breast_Cancer</t>
        </is>
      </c>
      <c r="B31" s="42" t="inlineStr">
        <is>
          <t>Mouse_anterior_brain</t>
        </is>
      </c>
      <c r="C31" s="42" t="n">
        <v>0.496</v>
      </c>
      <c r="D31" s="76" t="n">
        <v>0.5460199999999999</v>
      </c>
      <c r="E31" s="76" t="n">
        <v>0.57004</v>
      </c>
      <c r="F31" s="84">
        <f>C31-D31</f>
        <v/>
      </c>
      <c r="G31" s="86">
        <f>C31-E31</f>
        <v/>
      </c>
      <c r="H31" s="76" t="n">
        <v>0.4203</v>
      </c>
    </row>
    <row r="32">
      <c r="F32" s="89" t="n"/>
      <c r="G32" s="87" t="n"/>
    </row>
    <row r="33" ht="15" customHeight="1" s="77">
      <c r="A33" s="68" t="inlineStr">
        <is>
          <t>同平台同器官</t>
        </is>
      </c>
      <c r="B33" s="46" t="n"/>
      <c r="C33" s="46" t="n"/>
      <c r="F33" s="89" t="n"/>
      <c r="G33" s="87" t="n"/>
    </row>
    <row r="34">
      <c r="A34" s="58" t="inlineStr">
        <is>
          <t>training集</t>
        </is>
      </c>
      <c r="B34" s="59" t="inlineStr">
        <is>
          <t>test集</t>
        </is>
      </c>
      <c r="C34" s="59" t="inlineStr">
        <is>
          <t>ARI</t>
        </is>
      </c>
      <c r="D34" s="59" t="inlineStr">
        <is>
          <t>LOO</t>
        </is>
      </c>
      <c r="E34" s="59" t="inlineStr">
        <is>
          <t>Single</t>
        </is>
      </c>
      <c r="F34" s="59" t="inlineStr">
        <is>
          <t>Δ-LOO</t>
        </is>
      </c>
      <c r="G34" s="59" t="inlineStr">
        <is>
          <t>Δ-single</t>
        </is>
      </c>
      <c r="H34" s="59" t="inlineStr">
        <is>
          <t>PCA</t>
        </is>
      </c>
    </row>
    <row r="35" ht="16" customHeight="1" s="77">
      <c r="A35" s="61" t="inlineStr">
        <is>
          <t xml:space="preserve">MFC_all </t>
        </is>
      </c>
      <c r="B35" s="61" t="inlineStr">
        <is>
          <t>MERFISH POA（鼠下丘脑）</t>
        </is>
      </c>
      <c r="C35" s="61" t="n">
        <v>0.515</v>
      </c>
      <c r="D35" s="76" t="n">
        <v>0.77899</v>
      </c>
      <c r="E35" s="76" t="n">
        <v>0.66896</v>
      </c>
      <c r="F35" s="87">
        <f>C35-D35</f>
        <v/>
      </c>
      <c r="G35" s="87">
        <f>C35-E35</f>
        <v/>
      </c>
      <c r="H35" s="76" t="n">
        <v>0.16396</v>
      </c>
    </row>
  </sheetData>
  <mergeCells count="2">
    <mergeCell ref="J22:N26"/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showGridLines="0" workbookViewId="0">
      <selection activeCell="J14" sqref="J14"/>
    </sheetView>
  </sheetViews>
  <sheetFormatPr baseColWidth="8" defaultRowHeight="14"/>
  <cols>
    <col width="18" customWidth="1" style="77" min="1" max="1"/>
    <col width="26" customWidth="1" style="77" min="2" max="2"/>
    <col width="24" customWidth="1" style="77" min="3" max="3"/>
    <col width="24" customWidth="1" style="77" min="4" max="4"/>
    <col width="26" customWidth="1" style="77" min="5" max="5"/>
    <col width="46" customWidth="1" style="77" min="6" max="6"/>
  </cols>
  <sheetData>
    <row r="1" ht="26" customHeight="1" s="77">
      <c r="A1" s="90" t="inlineStr">
        <is>
          <t>迁移主因素 — 综合归因</t>
        </is>
      </c>
    </row>
    <row r="2" ht="18" customHeight="1" s="77">
      <c r="A2" s="91" t="inlineStr">
        <is>
          <t>基于 P2 / P4 / P6 / P7–P16 / P18 / P19 六组细化实验的横向归纳（原表为空，本次填充）</t>
        </is>
      </c>
    </row>
    <row r="4" ht="20" customHeight="1" s="77">
      <c r="A4" s="92" t="inlineStr">
        <is>
          <t>一、按目标数据集归因</t>
        </is>
      </c>
    </row>
    <row r="5" ht="32" customHeight="1" s="77">
      <c r="A5" s="93" t="inlineStr">
        <is>
          <t>目标数据集</t>
        </is>
      </c>
      <c r="B5" s="93" t="inlineStr">
        <is>
          <t>目标属性</t>
        </is>
      </c>
      <c r="C5" s="93" t="inlineStr">
        <is>
          <t>正迁移来源</t>
        </is>
      </c>
      <c r="D5" s="93" t="inlineStr">
        <is>
          <t>主控因素</t>
        </is>
      </c>
      <c r="E5" s="93" t="inlineStr">
        <is>
          <t>负迁移风险</t>
        </is>
      </c>
      <c r="F5" s="93" t="inlineStr">
        <is>
          <t>代表证据</t>
        </is>
      </c>
    </row>
    <row r="6" ht="46" customHeight="1" s="77">
      <c r="A6" s="94" t="inlineStr">
        <is>
          <t>MERFISH POA</t>
        </is>
      </c>
      <c r="B6" s="94" t="inlineStr">
        <is>
          <t>小数据（5926 细胞 / 155 基因）、8 类、无图像</t>
        </is>
      </c>
      <c r="C6" s="94" t="inlineStr">
        <is>
          <t>多源覆盖 + 跨平台互补</t>
        </is>
      </c>
      <c r="D6" s="94" t="inlineStr">
        <is>
          <t>源数量与源多样性</t>
        </is>
      </c>
      <c r="E6" s="94" t="inlineStr">
        <is>
          <t>单一源（无论相似或跨平台）均显著负迁移</t>
        </is>
      </c>
      <c r="F6" s="94" t="inlineStr">
        <is>
          <t>P6：MFC+osmFISH Δ=−0.042(p=0.16) 统计不可区分；完整 LOO Δ=+0.110 为全表唯一 PT</t>
        </is>
      </c>
    </row>
    <row r="7" ht="46" customHeight="1" s="77">
      <c r="A7" s="95" t="inlineStr">
        <is>
          <t>Breast_Cancer</t>
        </is>
      </c>
      <c r="B7" s="95" t="inlineStr">
        <is>
          <t>大数据（3798 细胞 / 2253 基因）、20 类、有图像</t>
        </is>
      </c>
      <c r="C7" s="95" t="inlineStr">
        <is>
          <t>同平台同物种的非癌源（DLPFC）</t>
        </is>
      </c>
      <c r="D7" s="95" t="inlineStr">
        <is>
          <t>源相似度（平台 + 物种 + 组织复杂度）</t>
        </is>
      </c>
      <c r="E7" s="95" t="inlineStr">
        <is>
          <t>异质癌源与多源混合稀释迁移</t>
        </is>
      </c>
      <c r="F7" s="95" t="inlineStr">
        <is>
          <t>P19：DLPFC Δ=−0.133 优于 lung+ovarian Δ=−0.323 与 all_visium Δ=−0.329</t>
        </is>
      </c>
    </row>
    <row r="8" ht="46" customHeight="1" s="77">
      <c r="A8" s="94" t="inlineStr">
        <is>
          <t>osmFISH</t>
        </is>
      </c>
      <c r="B8" s="94" t="inlineStr">
        <is>
          <t>小数据（5328 细胞 / 33 基因）、12 类、跨平台</t>
        </is>
      </c>
      <c r="C8" s="94" t="inlineStr">
        <is>
          <t>（无正迁移）脑区最接近的 MFC 相对最好</t>
        </is>
      </c>
      <c r="D8" s="94" t="inlineStr">
        <is>
          <t>源与目标的脑区距离</t>
        </is>
      </c>
      <c r="E8" s="94" t="inlineStr">
        <is>
          <t>远脑区源（POA）拖累，组合源反而不如单源</t>
        </is>
      </c>
      <c r="F8" s="94" t="inlineStr">
        <is>
          <t>P18：MFC −0.087 &gt; MFC+POA −0.106 &gt; POA −0.169</t>
        </is>
      </c>
    </row>
    <row r="9" ht="46" customHeight="1" s="77">
      <c r="A9" s="95" t="inlineStr">
        <is>
          <t>DLPFC / MFC 数据集内部</t>
        </is>
      </c>
      <c r="B9" s="95" t="inlineStr">
        <is>
          <t>同平台、同组织、同数据集</t>
        </is>
      </c>
      <c r="C9" s="95" t="inlineStr">
        <is>
          <t>（无正迁移）同个体切片间相对最好</t>
        </is>
      </c>
      <c r="D9" s="95" t="inlineStr">
        <is>
          <t>个体差异 &gt; 切片差异</t>
        </is>
      </c>
      <c r="E9" s="95" t="inlineStr">
        <is>
          <t>跨 donor / subject 预训练负迁移显著放大</t>
        </is>
      </c>
      <c r="F9" s="95" t="inlineStr">
        <is>
          <t>P2 cross-slice DLPFC −0.098 / MFC −0.151；P4 跨个体 DLPFC −0.181 / MFC −0.214</t>
        </is>
      </c>
    </row>
    <row r="11" ht="20" customHeight="1" s="77">
      <c r="A11" s="92" t="inlineStr">
        <is>
          <t>二、统一归因结论</t>
        </is>
      </c>
    </row>
    <row r="12" ht="32" customHeight="1" s="77">
      <c r="A12" s="93" t="inlineStr">
        <is>
          <t>结论</t>
        </is>
      </c>
      <c r="B12" s="93" t="inlineStr">
        <is>
          <t>说明</t>
        </is>
      </c>
      <c r="C12" s="93" t="inlineStr"/>
      <c r="D12" s="93" t="inlineStr"/>
      <c r="E12" s="93" t="inlineStr"/>
      <c r="F12" s="93" t="inlineStr"/>
    </row>
    <row r="13" ht="30" customHeight="1" s="77">
      <c r="A13" s="96" t="inlineStr">
        <is>
          <t>① 源多样性收益</t>
        </is>
      </c>
      <c r="B13" s="97" t="inlineStr">
        <is>
          <t>当目标数据稀缺、类别简单时（POA），多源 / 跨平台互补带来显著正收益，且规模与多样性是正交杠杆。</t>
        </is>
      </c>
      <c r="C13" s="98" t="n"/>
      <c r="D13" s="98" t="n"/>
      <c r="E13" s="98" t="n"/>
      <c r="F13" s="98" t="n"/>
    </row>
    <row r="14" ht="30" customHeight="1" s="77">
      <c r="A14" s="99" t="inlineStr">
        <is>
          <t>② 源相似度主导</t>
        </is>
      </c>
      <c r="B14" s="100" t="inlineStr">
        <is>
          <t>当目标数据充足、类别复杂时（Breast、osmFISH），外部预训练收益有限，源与目标的相似度（平台、物种、组织）成为决定迁移强弱的主因素。</t>
        </is>
      </c>
      <c r="C14" s="101" t="n"/>
      <c r="D14" s="101" t="n"/>
      <c r="E14" s="101" t="n"/>
      <c r="F14" s="101" t="n"/>
    </row>
    <row r="15" ht="30" customHeight="1" s="77">
      <c r="A15" s="96" t="inlineStr">
        <is>
          <t>③ 边界事实</t>
        </is>
      </c>
      <c r="B15" s="97" t="inlineStr">
        <is>
          <t>无论哪种场景，数据集内部跨切片 / 跨个体的预训练都无法超过 Single —— 迁移的「等效性」只在多源全局预训练（完整 LOO）层面成立。</t>
        </is>
      </c>
      <c r="C15" s="98" t="n"/>
      <c r="D15" s="98" t="n"/>
      <c r="E15" s="98" t="n"/>
      <c r="F15" s="98" t="n"/>
    </row>
    <row r="16" ht="30" customHeight="1" s="77">
      <c r="A16" s="99" t="inlineStr">
        <is>
          <t>④ 实践建议</t>
        </is>
      </c>
      <c r="B16" s="100" t="inlineStr">
        <is>
          <t>构建预训练语料时应优先扩充平台与组织的多样性，而非同一平台内单纯堆量；对标注复杂的大数据目标，需谨慎评估源相似度。</t>
        </is>
      </c>
      <c r="C16" s="101" t="n"/>
      <c r="D16" s="101" t="n"/>
      <c r="E16" s="101" t="n"/>
      <c r="F16" s="101" t="n"/>
    </row>
  </sheetData>
  <mergeCells count="8">
    <mergeCell ref="A2:F2"/>
    <mergeCell ref="A11:F11"/>
    <mergeCell ref="B16:F16"/>
    <mergeCell ref="B15:F15"/>
    <mergeCell ref="A1:F1"/>
    <mergeCell ref="A4:F4"/>
    <mergeCell ref="B14:F14"/>
    <mergeCell ref="B13:F13"/>
  </mergeCells>
  <pageMargins left="0.7" right="0.7" top="0.75" bottom="0.75" header="0.3" footer="0.3"/>
  <pageSetup orientation="landscape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H14" sqref="H14"/>
    </sheetView>
  </sheetViews>
  <sheetFormatPr baseColWidth="8" defaultRowHeight="14"/>
  <cols>
    <col width="13.58203125" customWidth="1" style="77" min="2" max="2"/>
    <col width="13.83203125" customWidth="1" style="77" min="3" max="3"/>
    <col width="12" customWidth="1" style="77" min="4" max="4"/>
  </cols>
  <sheetData>
    <row r="1" ht="16" customHeight="1" s="77">
      <c r="A1" s="38" t="inlineStr">
        <is>
          <t>版本</t>
        </is>
      </c>
      <c r="B1" s="39" t="inlineStr">
        <is>
          <t>平均训练时间</t>
        </is>
      </c>
      <c r="C1" s="39" t="inlineStr">
        <is>
          <t>平均 RAM</t>
        </is>
      </c>
      <c r="D1" s="39" t="inlineStr">
        <is>
          <t>平均显存</t>
        </is>
      </c>
    </row>
    <row r="2" ht="21.5" customHeight="1" s="77" thickBot="1">
      <c r="A2" s="43" t="inlineStr">
        <is>
          <t>Single</t>
        </is>
      </c>
      <c r="B2" s="42" t="inlineStr">
        <is>
          <t>~17s*26</t>
        </is>
      </c>
      <c r="C2" s="75" t="inlineStr">
        <is>
          <t>~2.3GB？？？</t>
        </is>
      </c>
      <c r="D2" s="42" t="inlineStr">
        <is>
          <t>~458MB</t>
        </is>
      </c>
      <c r="E2" s="51" t="inlineStr">
        <is>
          <t>？？？</t>
        </is>
      </c>
    </row>
    <row r="3" ht="16.5" customHeight="1" s="77" thickBot="1">
      <c r="A3" s="43" t="inlineStr">
        <is>
          <t>LOO</t>
        </is>
      </c>
      <c r="B3" s="42" t="inlineStr">
        <is>
          <t>~100s</t>
        </is>
      </c>
      <c r="C3" s="75" t="inlineStr">
        <is>
          <t>~2.2GB？？？</t>
        </is>
      </c>
      <c r="D3" s="42" t="inlineStr">
        <is>
          <t>~13.6GB</t>
        </is>
      </c>
    </row>
    <row r="4" ht="16.5" customHeight="1" s="77" thickBot="1">
      <c r="A4" s="43" t="inlineStr">
        <is>
          <t>PCA</t>
        </is>
      </c>
      <c r="B4" s="42" t="inlineStr">
        <is>
          <t>~0s</t>
        </is>
      </c>
      <c r="C4" s="42" t="inlineStr">
        <is>
          <t>—</t>
        </is>
      </c>
      <c r="D4" s="42" t="inlineStr">
        <is>
          <t>—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42"/>
  <sheetViews>
    <sheetView showGridLines="0" workbookViewId="0">
      <selection activeCell="A1" sqref="A1"/>
    </sheetView>
  </sheetViews>
  <sheetFormatPr baseColWidth="8" defaultRowHeight="15"/>
  <cols>
    <col width="22" customWidth="1" style="77" min="1" max="1"/>
    <col width="26" customWidth="1" style="77" min="2" max="2"/>
    <col width="30" customWidth="1" style="77" min="3" max="3"/>
    <col width="10" customWidth="1" style="77" min="4" max="4"/>
    <col width="30" customWidth="1" style="77" min="5" max="5"/>
    <col width="14" customWidth="1" style="77" min="6" max="6"/>
  </cols>
  <sheetData>
    <row r="1" ht="26" customHeight="1" s="77">
      <c r="A1" s="90" t="inlineStr">
        <is>
          <t>迁移细化实验 — 说明与口径</t>
        </is>
      </c>
    </row>
    <row r="2" ht="18" customHeight="1" s="77">
      <c r="A2" s="91" t="inlineStr">
        <is>
          <t>对照 docs/迁移细化实验设计-hym20260803.docx；数据来源 实验框架/结果/迁移_*_summary.csv（2026-08-06 生成）</t>
        </is>
      </c>
    </row>
    <row r="4" ht="20" customHeight="1" s="77">
      <c r="A4" s="92" t="inlineStr">
        <is>
          <t>一、统一实验口径</t>
        </is>
      </c>
    </row>
    <row r="5" ht="32" customHeight="1" s="77">
      <c r="A5" s="93" t="inlineStr">
        <is>
          <t>项目</t>
        </is>
      </c>
      <c r="B5" s="93" t="inlineStr">
        <is>
          <t>设置</t>
        </is>
      </c>
      <c r="C5" s="93" t="inlineStr">
        <is>
          <t>说明</t>
        </is>
      </c>
      <c r="D5" s="93" t="inlineStr"/>
      <c r="E5" s="93" t="inlineStr"/>
      <c r="F5" s="93" t="inlineStr"/>
    </row>
    <row r="6">
      <c r="A6" s="96" t="inlineStr">
        <is>
          <t>随机种子</t>
        </is>
      </c>
      <c r="B6" s="96" t="inlineStr">
        <is>
          <t>10 个固定种子</t>
        </is>
      </c>
      <c r="C6" s="96" t="inlineStr">
        <is>
          <t>实验框架/seeds.json：13233, 13850, 31477, 40480, 48912, 49210, 56859, 58292, 72053, 86193</t>
        </is>
      </c>
      <c r="D6" s="98" t="n"/>
      <c r="E6" s="98" t="n"/>
      <c r="F6" s="98" t="n"/>
    </row>
    <row r="7">
      <c r="A7" s="99" t="inlineStr">
        <is>
          <t>标注比例</t>
        </is>
      </c>
      <c r="B7" s="99" t="inlineStr">
        <is>
          <t>5%</t>
        </is>
      </c>
      <c r="C7" s="99" t="inlineStr">
        <is>
          <t>与既有 Single / LOO / PCA 基线一致</t>
        </is>
      </c>
      <c r="D7" s="101" t="n"/>
      <c r="E7" s="101" t="n"/>
      <c r="F7" s="101" t="n"/>
    </row>
    <row r="8">
      <c r="A8" s="96" t="inlineStr">
        <is>
          <t>每组结果</t>
        </is>
      </c>
      <c r="B8" s="96" t="inlineStr">
        <is>
          <t>10 种子均值 ± 标准差</t>
        </is>
      </c>
      <c r="C8" s="96" t="inlineStr">
        <is>
          <t>每个 (源, 目标切片) 组合独立训练 10 次</t>
        </is>
      </c>
      <c r="D8" s="98" t="n"/>
      <c r="E8" s="98" t="n"/>
      <c r="F8" s="98" t="n"/>
    </row>
    <row r="9">
      <c r="A9" s="99" t="inlineStr">
        <is>
          <t>差值 Δ</t>
        </is>
      </c>
      <c r="B9" s="99" t="inlineStr">
        <is>
          <t>Δ = transfer − Single</t>
        </is>
      </c>
      <c r="C9" s="99" t="inlineStr">
        <is>
          <t>按种子配对相减，消除切片难度差异</t>
        </is>
      </c>
      <c r="D9" s="101" t="n"/>
      <c r="E9" s="101" t="n"/>
      <c r="F9" s="101" t="n"/>
    </row>
    <row r="10">
      <c r="A10" s="96" t="inlineStr">
        <is>
          <t>置信区间</t>
        </is>
      </c>
      <c r="B10" s="96" t="inlineStr">
        <is>
          <t>90% / 95%</t>
        </is>
      </c>
      <c r="C10" s="96" t="inlineStr">
        <is>
          <t>主口径为配对 t 分布；另附配对 bootstrap（10000 次，seed=42）双口径交叉验证</t>
        </is>
      </c>
      <c r="D10" s="98" t="n"/>
      <c r="E10" s="98" t="n"/>
      <c r="F10" s="98" t="n"/>
    </row>
    <row r="11">
      <c r="A11" s="99" t="inlineStr">
        <is>
          <t>显著性检验</t>
        </is>
      </c>
      <c r="B11" s="99" t="inlineStr">
        <is>
          <t>配对 t 检验</t>
        </is>
      </c>
      <c r="C11" s="99" t="inlineStr">
        <is>
          <t>*** p&lt;0.001 / ** p&lt;0.01 / * p&lt;0.05 / ns 不显著</t>
        </is>
      </c>
      <c r="D11" s="101" t="n"/>
      <c r="E11" s="101" t="n"/>
      <c r="F11" s="101" t="n"/>
    </row>
    <row r="12">
      <c r="A12" s="96" t="inlineStr">
        <is>
          <t>Single 基线</t>
        </is>
      </c>
      <c r="B12" s="96" t="inlineStr">
        <is>
          <t>新版 per-seed 基线</t>
        </is>
      </c>
      <c r="C12" s="96" t="inlineStr">
        <is>
          <t>实验框架/结果/基线_新版/single_结果.csv，与本汇总 Sheet1 同源</t>
        </is>
      </c>
      <c r="D12" s="98" t="n"/>
      <c r="E12" s="98" t="n"/>
      <c r="F12" s="98" t="n"/>
    </row>
    <row r="13">
      <c r="A13" s="99" t="inlineStr">
        <is>
          <t>适配器</t>
        </is>
      </c>
      <c r="B13" s="99" t="inlineStr">
        <is>
          <t>冻结 backbone + MLP 分类头</t>
        </is>
      </c>
      <c r="C13" s="99" t="inlineStr">
        <is>
          <t>250 epoch CE，backbone 参数全部冻结</t>
        </is>
      </c>
      <c r="D13" s="101" t="n"/>
      <c r="E13" s="101" t="n"/>
      <c r="F13" s="101" t="n"/>
    </row>
    <row r="15" ht="20" customHeight="1" s="77">
      <c r="A15" s="92" t="inlineStr">
        <is>
          <t>二、迁移分类规则（与 Sheet1 保持一致）</t>
        </is>
      </c>
    </row>
    <row r="16" ht="32" customHeight="1" s="77">
      <c r="A16" s="93" t="inlineStr">
        <is>
          <t>分类</t>
        </is>
      </c>
      <c r="B16" s="93" t="inlineStr">
        <is>
          <t>判定条件</t>
        </is>
      </c>
      <c r="C16" s="93" t="inlineStr">
        <is>
          <t>含义</t>
        </is>
      </c>
      <c r="D16" s="93" t="inlineStr"/>
      <c r="E16" s="93" t="inlineStr"/>
      <c r="F16" s="93" t="inlineStr"/>
    </row>
    <row r="17">
      <c r="A17" s="102" t="inlineStr">
        <is>
          <t>PT</t>
        </is>
      </c>
      <c r="B17" s="96" t="inlineStr">
        <is>
          <t>Δ 均值 &gt; +0.0388</t>
        </is>
      </c>
      <c r="C17" s="96" t="inlineStr">
        <is>
          <t>正迁移 Positive Transfer：外部预训练显著优于 Single</t>
        </is>
      </c>
      <c r="D17" s="98" t="n"/>
      <c r="E17" s="98" t="n"/>
      <c r="F17" s="98" t="n"/>
    </row>
    <row r="18">
      <c r="A18" s="103" t="inlineStr">
        <is>
          <t>ET</t>
        </is>
      </c>
      <c r="B18" s="99" t="inlineStr">
        <is>
          <t>|Δ 均值| ≤ 0.0388</t>
        </is>
      </c>
      <c r="C18" s="99" t="inlineStr">
        <is>
          <t>等效迁移 Equivalent Transfer：与 Single 在等效界内</t>
        </is>
      </c>
      <c r="D18" s="101" t="n"/>
      <c r="E18" s="101" t="n"/>
      <c r="F18" s="101" t="n"/>
    </row>
    <row r="19">
      <c r="A19" s="104" t="inlineStr">
        <is>
          <t>UI</t>
        </is>
      </c>
      <c r="B19" s="96" t="inlineStr">
        <is>
          <t>Δ 均值 &lt; −0.0388</t>
        </is>
      </c>
      <c r="C19" s="96" t="inlineStr">
        <is>
          <t>信息不足 Uninformative：外部预训练劣于 Single</t>
        </is>
      </c>
      <c r="D19" s="98" t="n"/>
      <c r="E19" s="98" t="n"/>
      <c r="F19" s="98" t="n"/>
    </row>
    <row r="20">
      <c r="A20" s="103" t="inlineStr">
        <is>
          <t>(P)</t>
        </is>
      </c>
      <c r="B20" s="99" t="inlineStr">
        <is>
          <t>95%CI 完全落在同一区间</t>
        </is>
      </c>
      <c r="C20" s="99" t="inlineStr">
        <is>
          <t>结论稳健 Pure</t>
        </is>
      </c>
      <c r="D20" s="101" t="n"/>
      <c r="E20" s="101" t="n"/>
      <c r="F20" s="101" t="n"/>
    </row>
    <row r="21">
      <c r="A21" s="105" t="inlineStr">
        <is>
          <t>(Toward X)</t>
        </is>
      </c>
      <c r="B21" s="96" t="inlineStr">
        <is>
          <t>95%CI 越过等效界，偏向 X</t>
        </is>
      </c>
      <c r="C21" s="96" t="inlineStr">
        <is>
          <t>结论存在方向性倾斜</t>
        </is>
      </c>
      <c r="D21" s="98" t="n"/>
      <c r="E21" s="98" t="n"/>
      <c r="F21" s="98" t="n"/>
    </row>
    <row r="22">
      <c r="A22" s="103" t="inlineStr">
        <is>
          <t>等效界 ε</t>
        </is>
      </c>
      <c r="B22" s="99" t="inlineStr">
        <is>
          <t>ε = 0.02585，界宽 = 1.5ε = ±0.0388</t>
        </is>
      </c>
      <c r="C22" s="99" t="inlineStr">
        <is>
          <t>沿用原表 Sheet1 的 95% 等效界（90% 界为 2ε = ±0.0517）</t>
        </is>
      </c>
      <c r="D22" s="101" t="n"/>
      <c r="E22" s="101" t="n"/>
      <c r="F22" s="101" t="n"/>
    </row>
    <row r="24" ht="20" customHeight="1" s="77">
      <c r="A24" s="92" t="inlineStr">
        <is>
          <t>三、新增表清单</t>
        </is>
      </c>
    </row>
    <row r="25" ht="32" customHeight="1" s="77">
      <c r="A25" s="93" t="inlineStr">
        <is>
          <t>工作表</t>
        </is>
      </c>
      <c r="B25" s="93" t="inlineStr">
        <is>
          <t>设计文档</t>
        </is>
      </c>
      <c r="C25" s="93" t="inlineStr">
        <is>
          <t>实验内容</t>
        </is>
      </c>
      <c r="D25" s="93" t="inlineStr">
        <is>
          <t>组数</t>
        </is>
      </c>
      <c r="E25" s="93" t="inlineStr">
        <is>
          <t>数据来源</t>
        </is>
      </c>
      <c r="F25" s="93" t="inlineStr"/>
    </row>
    <row r="26">
      <c r="A26" s="96" t="inlineStr">
        <is>
          <t>P2 切片内LOO</t>
        </is>
      </c>
      <c r="B26" s="96" t="inlineStr">
        <is>
          <t>P2 cross-slice</t>
        </is>
      </c>
      <c r="C26" s="96" t="inlineStr">
        <is>
          <t>同数据集内一片适配 / 其余预训练（DLPFC 12 + MFC 9）</t>
        </is>
      </c>
      <c r="D26" s="106" t="n">
        <v>21</v>
      </c>
      <c r="E26" s="106" t="inlineStr">
        <is>
          <t>迁移_cross_slice_summary.csv</t>
        </is>
      </c>
      <c r="F26" s="98" t="n"/>
    </row>
    <row r="27">
      <c r="A27" s="99" t="inlineStr">
        <is>
          <t>P4 个体间迁移</t>
        </is>
      </c>
      <c r="B27" s="99" t="inlineStr">
        <is>
          <t>P4 subject-to-subject</t>
        </is>
      </c>
      <c r="C27" s="99" t="inlineStr">
        <is>
          <t>一个 donor/subject 预训练 → 另一个的每个切片适配</t>
        </is>
      </c>
      <c r="D27" s="107" t="n">
        <v>42</v>
      </c>
      <c r="E27" s="107" t="inlineStr">
        <is>
          <t>迁移_subject_to_subject_summary.csv</t>
        </is>
      </c>
      <c r="F27" s="101" t="n"/>
    </row>
    <row r="28">
      <c r="A28" s="96" t="inlineStr">
        <is>
          <t>P6 正迁移机制</t>
        </is>
      </c>
      <c r="B28" s="96" t="inlineStr">
        <is>
          <t>P6 Mechanism</t>
        </is>
      </c>
      <c r="C28" s="96" t="inlineStr">
        <is>
          <t>MFC / osmFISH / MFC+osmFISH → MERFISH POA</t>
        </is>
      </c>
      <c r="D28" s="106" t="n">
        <v>3</v>
      </c>
      <c r="E28" s="106" t="inlineStr">
        <is>
          <t>迁移_机制_poa_summary.csv</t>
        </is>
      </c>
      <c r="F28" s="98" t="n"/>
    </row>
    <row r="29">
      <c r="A29" s="99" t="inlineStr">
        <is>
          <t>P7-P16 数据规模</t>
        </is>
      </c>
      <c r="B29" s="99" t="inlineStr">
        <is>
          <t>P7–P16 Scale</t>
        </is>
      </c>
      <c r="C29" s="99" t="inlineStr">
        <is>
          <t>S1→S9 规模扫描（3 路径）+ 固定细胞数对照</t>
        </is>
      </c>
      <c r="D29" s="107" t="n">
        <v>23</v>
      </c>
      <c r="E29" s="107" t="inlineStr">
        <is>
          <t>迁移_规模_summary.csv</t>
        </is>
      </c>
      <c r="F29" s="101" t="n"/>
    </row>
    <row r="30">
      <c r="A30" s="96" t="inlineStr">
        <is>
          <t>P18 跨平台等效</t>
        </is>
      </c>
      <c r="B30" s="96" t="inlineStr">
        <is>
          <t>P18 Cross-platform</t>
        </is>
      </c>
      <c r="C30" s="96" t="inlineStr">
        <is>
          <t>MFC / POA / MFC+POA → osmFISH</t>
        </is>
      </c>
      <c r="D30" s="106" t="n">
        <v>3</v>
      </c>
      <c r="E30" s="106" t="inlineStr">
        <is>
          <t>迁移_等效_osmFISH_summary.csv</t>
        </is>
      </c>
      <c r="F30" s="98" t="n"/>
    </row>
    <row r="31">
      <c r="A31" s="99" t="inlineStr">
        <is>
          <t>P19 跨器官等效</t>
        </is>
      </c>
      <c r="B31" s="99" t="inlineStr">
        <is>
          <t>P19 Cross-organ</t>
        </is>
      </c>
      <c r="C31" s="99" t="inlineStr">
        <is>
          <t>Lung / Ovarian / Lung+Ovarian / DLPFC / AllVisium → Breast</t>
        </is>
      </c>
      <c r="D31" s="107" t="n">
        <v>5</v>
      </c>
      <c r="E31" s="107" t="inlineStr">
        <is>
          <t>迁移_等效_breast_summary.csv</t>
        </is>
      </c>
      <c r="F31" s="101" t="n"/>
    </row>
    <row r="32">
      <c r="A32" s="96" t="inlineStr">
        <is>
          <t>迁移主因素</t>
        </is>
      </c>
      <c r="B32" s="96" t="inlineStr">
        <is>
          <t>综合归因</t>
        </is>
      </c>
      <c r="C32" s="96" t="inlineStr">
        <is>
          <t>按 POA / Breast 两类目标归纳迁移主控因素</t>
        </is>
      </c>
      <c r="D32" s="106" t="n">
        <v>2</v>
      </c>
      <c r="E32" s="106" t="inlineStr">
        <is>
          <t>上述各表综合</t>
        </is>
      </c>
      <c r="F32" s="98" t="n"/>
    </row>
    <row r="33">
      <c r="A33" s="99" t="inlineStr">
        <is>
          <t>新增实验总览</t>
        </is>
      </c>
      <c r="B33" s="99" t="inlineStr">
        <is>
          <t>综合结论</t>
        </is>
      </c>
      <c r="C33" s="99" t="inlineStr">
        <is>
          <t>六组实验关键结论一览 + 论文叙述建议</t>
        </is>
      </c>
      <c r="D33" s="107" t="n">
        <v>6</v>
      </c>
      <c r="E33" s="107" t="inlineStr">
        <is>
          <t>上述各表综合</t>
        </is>
      </c>
      <c r="F33" s="101" t="n"/>
    </row>
    <row r="35" ht="20" customHeight="1" s="77">
      <c r="A35" s="92" t="inlineStr">
        <is>
          <t>四、原有工作表（内容与格式未作任何修改）</t>
        </is>
      </c>
    </row>
    <row r="36" ht="32" customHeight="1" s="77">
      <c r="A36" s="93" t="inlineStr">
        <is>
          <t>工作表</t>
        </is>
      </c>
      <c r="B36" s="93" t="inlineStr">
        <is>
          <t>内容</t>
        </is>
      </c>
      <c r="C36" s="93" t="inlineStr"/>
      <c r="D36" s="93" t="inlineStr"/>
      <c r="E36" s="93" t="inlineStr"/>
      <c r="F36" s="93" t="inlineStr"/>
    </row>
    <row r="37">
      <c r="A37" s="96" t="inlineStr">
        <is>
          <t>Sheet1</t>
        </is>
      </c>
      <c r="B37" s="96" t="inlineStr">
        <is>
          <t>26 个切片的 LOO / Single / PCA 三档对比与迁移分类主表</t>
        </is>
      </c>
      <c r="C37" s="98" t="n"/>
      <c r="D37" s="98" t="n"/>
      <c r="E37" s="98" t="n"/>
      <c r="F37" s="98" t="n"/>
    </row>
    <row r="38">
      <c r="A38" s="99" t="inlineStr">
        <is>
          <t>重排分析</t>
        </is>
      </c>
      <c r="B38" s="99" t="inlineStr">
        <is>
          <t>Sheet1 按迁移分类重排的版本 + 数据集基本信息</t>
        </is>
      </c>
      <c r="C38" s="101" t="n"/>
      <c r="D38" s="101" t="n"/>
      <c r="E38" s="101" t="n"/>
      <c r="F38" s="101" t="n"/>
    </row>
    <row r="39">
      <c r="A39" s="96" t="inlineStr">
        <is>
          <t>同组织同平台泛化</t>
        </is>
      </c>
      <c r="B39" s="96" t="inlineStr">
        <is>
          <t>DLPFC / MFC 数据集内 LOO 与 Subject-LOO</t>
        </is>
      </c>
      <c r="C39" s="98" t="n"/>
      <c r="D39" s="98" t="n"/>
      <c r="E39" s="98" t="n"/>
      <c r="F39" s="98" t="n"/>
    </row>
    <row r="40">
      <c r="A40" s="99" t="inlineStr">
        <is>
          <t>跨平台泛化</t>
        </is>
      </c>
      <c r="B40" s="99" t="inlineStr">
        <is>
          <t>跨平台 / 跨组织 / 跨器官的四象限泛化实验</t>
        </is>
      </c>
      <c r="C40" s="101" t="n"/>
      <c r="D40" s="101" t="n"/>
      <c r="E40" s="101" t="n"/>
      <c r="F40" s="101" t="n"/>
    </row>
    <row r="41">
      <c r="A41" s="96" t="inlineStr">
        <is>
          <t>迁移主因素</t>
        </is>
      </c>
      <c r="B41" s="96" t="inlineStr">
        <is>
          <t>（原为空表，本次按新实验结论填充）</t>
        </is>
      </c>
      <c r="C41" s="98" t="n"/>
      <c r="D41" s="98" t="n"/>
      <c r="E41" s="98" t="n"/>
      <c r="F41" s="98" t="n"/>
    </row>
    <row r="42">
      <c r="A42" s="99" t="inlineStr">
        <is>
          <t>时间分析</t>
        </is>
      </c>
      <c r="B42" s="99" t="inlineStr">
        <is>
          <t>Single / LOO / PCA 的训练时间与显存开销</t>
        </is>
      </c>
      <c r="C42" s="101" t="n"/>
      <c r="D42" s="101" t="n"/>
      <c r="E42" s="101" t="n"/>
      <c r="F42" s="101" t="n"/>
    </row>
  </sheetData>
  <mergeCells count="34">
    <mergeCell ref="C17:F17"/>
    <mergeCell ref="C8:F8"/>
    <mergeCell ref="E33:F33"/>
    <mergeCell ref="C7:F7"/>
    <mergeCell ref="C19:F19"/>
    <mergeCell ref="C13:F13"/>
    <mergeCell ref="A2:F2"/>
    <mergeCell ref="C18:F18"/>
    <mergeCell ref="B39:F39"/>
    <mergeCell ref="E29:F29"/>
    <mergeCell ref="B42:F42"/>
    <mergeCell ref="C6:F6"/>
    <mergeCell ref="E28:F28"/>
    <mergeCell ref="A35:F35"/>
    <mergeCell ref="A4:F4"/>
    <mergeCell ref="E31:F31"/>
    <mergeCell ref="E30:F30"/>
    <mergeCell ref="B38:F38"/>
    <mergeCell ref="C20:F20"/>
    <mergeCell ref="E27:F27"/>
    <mergeCell ref="B37:F37"/>
    <mergeCell ref="C10:F10"/>
    <mergeCell ref="E26:F26"/>
    <mergeCell ref="B40:F40"/>
    <mergeCell ref="A15:F15"/>
    <mergeCell ref="C22:F22"/>
    <mergeCell ref="A24:F24"/>
    <mergeCell ref="C9:F9"/>
    <mergeCell ref="E32:F32"/>
    <mergeCell ref="A1:F1"/>
    <mergeCell ref="C12:F12"/>
    <mergeCell ref="C21:F21"/>
    <mergeCell ref="C11:F11"/>
    <mergeCell ref="B41:F41"/>
  </mergeCells>
  <pageMargins left="0.75" right="0.75" top="1" bottom="1" header="0.5" footer="0.5"/>
  <pageSetup orientation="landscape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O3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style="77" min="1" max="1"/>
    <col width="12" customWidth="1" style="77" min="2" max="2"/>
    <col width="8" customWidth="1" style="77" min="3" max="3"/>
    <col width="11" customWidth="1" style="77" min="4" max="4"/>
    <col width="9" customWidth="1" style="77" min="5" max="5"/>
    <col width="11" customWidth="1" style="77" min="6" max="6"/>
    <col width="14" customWidth="1" style="77" min="7" max="7"/>
    <col width="9" customWidth="1" style="77" min="8" max="8"/>
    <col width="20" customWidth="1" style="77" min="9" max="9"/>
    <col width="20" customWidth="1" style="77" min="10" max="10"/>
    <col width="9" customWidth="1" style="77" min="11" max="11"/>
    <col width="11" customWidth="1" style="77" min="12" max="12"/>
    <col width="9" customWidth="1" style="77" min="13" max="13"/>
    <col width="17" customWidth="1" style="77" min="14" max="14"/>
    <col width="20" customWidth="1" style="77" min="15" max="15"/>
  </cols>
  <sheetData>
    <row r="1" ht="26" customHeight="1" s="77">
      <c r="A1" s="90" t="inlineStr">
        <is>
          <t>P2 cross-slice transfer — 数据集内部切片留一</t>
        </is>
      </c>
    </row>
    <row r="2" ht="18" customHeight="1" s="77">
      <c r="A2" s="91" t="inlineStr">
        <is>
          <t>一个切片做任务适配，同数据集其余切片做预训练；10 种子 × 5% 标注；Δ = 迁移 − Single（按种子配对）</t>
        </is>
      </c>
    </row>
    <row r="4" ht="32" customHeight="1" s="77">
      <c r="A4" s="93" t="inlineStr">
        <is>
          <t>数据集</t>
        </is>
      </c>
      <c r="B4" s="93" t="inlineStr">
        <is>
          <t>目标切片</t>
        </is>
      </c>
      <c r="C4" s="93" t="inlineStr">
        <is>
          <t>种子数</t>
        </is>
      </c>
      <c r="D4" s="93" t="inlineStr">
        <is>
          <t>迁移 ARI</t>
        </is>
      </c>
      <c r="E4" s="93" t="inlineStr">
        <is>
          <t>± std</t>
        </is>
      </c>
      <c r="F4" s="93" t="inlineStr">
        <is>
          <t>Single 基线</t>
        </is>
      </c>
      <c r="G4" s="93" t="inlineStr">
        <is>
          <t>Δ (迁移−Single)</t>
        </is>
      </c>
      <c r="H4" s="93" t="inlineStr">
        <is>
          <t>Δ std</t>
        </is>
      </c>
      <c r="I4" s="93" t="inlineStr">
        <is>
          <t>90% CI</t>
        </is>
      </c>
      <c r="J4" s="93" t="inlineStr">
        <is>
          <t>95% CI</t>
        </is>
      </c>
      <c r="K4" s="93" t="inlineStr">
        <is>
          <t>t 值</t>
        </is>
      </c>
      <c r="L4" s="93" t="inlineStr">
        <is>
          <t>p 值</t>
        </is>
      </c>
      <c r="M4" s="93" t="inlineStr">
        <is>
          <t>显著性</t>
        </is>
      </c>
      <c r="N4" s="93" t="inlineStr">
        <is>
          <t>迁移分类 (95%CI)</t>
        </is>
      </c>
      <c r="O4" s="93" t="inlineStr">
        <is>
          <t>备注</t>
        </is>
      </c>
    </row>
    <row r="5" ht="20" customHeight="1" s="77">
      <c r="A5" s="92" t="inlineStr">
        <is>
          <t xml:space="preserve">  DLPFC — 12 个切片</t>
        </is>
      </c>
    </row>
    <row r="6">
      <c r="A6" s="96" t="inlineStr">
        <is>
          <t>DLPFC</t>
        </is>
      </c>
      <c r="B6" s="96" t="inlineStr">
        <is>
          <t>151507</t>
        </is>
      </c>
      <c r="C6" s="108" t="n">
        <v>10</v>
      </c>
      <c r="D6" s="109" t="n">
        <v>0.6133999999999999</v>
      </c>
      <c r="E6" s="109" t="n">
        <v>0.0259</v>
      </c>
      <c r="F6" s="109" t="n">
        <v>0.653</v>
      </c>
      <c r="G6" s="110" t="n">
        <v>-0.0397</v>
      </c>
      <c r="H6" s="109" t="n">
        <v>0.0346</v>
      </c>
      <c r="I6" s="106" t="inlineStr">
        <is>
          <t>[-0.0597, -0.0196]</t>
        </is>
      </c>
      <c r="J6" s="106" t="inlineStr">
        <is>
          <t>[-0.0644, -0.0149]</t>
        </is>
      </c>
      <c r="K6" s="111" t="n">
        <v>-3.6219</v>
      </c>
      <c r="L6" s="112" t="n">
        <v>0.005555</v>
      </c>
      <c r="M6" s="106" t="inlineStr">
        <is>
          <t>**</t>
        </is>
      </c>
      <c r="N6" s="113" t="inlineStr">
        <is>
          <t>UI (Toward ET)</t>
        </is>
      </c>
      <c r="O6" s="106" t="inlineStr">
        <is>
          <t>接近等效</t>
        </is>
      </c>
    </row>
    <row r="7">
      <c r="A7" s="99" t="inlineStr">
        <is>
          <t>DLPFC</t>
        </is>
      </c>
      <c r="B7" s="99" t="inlineStr">
        <is>
          <t>151508</t>
        </is>
      </c>
      <c r="C7" s="114" t="n">
        <v>10</v>
      </c>
      <c r="D7" s="115" t="n">
        <v>0.6068</v>
      </c>
      <c r="E7" s="115" t="n">
        <v>0.0344</v>
      </c>
      <c r="F7" s="115" t="n">
        <v>0.662</v>
      </c>
      <c r="G7" s="116" t="n">
        <v>-0.0552</v>
      </c>
      <c r="H7" s="115" t="n">
        <v>0.0225</v>
      </c>
      <c r="I7" s="107" t="inlineStr">
        <is>
          <t>[-0.0682, -0.0421]</t>
        </is>
      </c>
      <c r="J7" s="107" t="inlineStr">
        <is>
          <t>[-0.0713, -0.0390]</t>
        </is>
      </c>
      <c r="K7" s="117" t="n">
        <v>-7.7402</v>
      </c>
      <c r="L7" s="118" t="n">
        <v>2.9e-05</v>
      </c>
      <c r="M7" s="107" t="inlineStr">
        <is>
          <t>***</t>
        </is>
      </c>
      <c r="N7" s="119" t="inlineStr">
        <is>
          <t>UI (P)</t>
        </is>
      </c>
      <c r="O7" s="107" t="inlineStr"/>
    </row>
    <row r="8">
      <c r="A8" s="96" t="inlineStr">
        <is>
          <t>DLPFC</t>
        </is>
      </c>
      <c r="B8" s="96" t="inlineStr">
        <is>
          <t>151509</t>
        </is>
      </c>
      <c r="C8" s="108" t="n">
        <v>10</v>
      </c>
      <c r="D8" s="109" t="n">
        <v>0.5424</v>
      </c>
      <c r="E8" s="109" t="n">
        <v>0.0673</v>
      </c>
      <c r="F8" s="109" t="n">
        <v>0.767</v>
      </c>
      <c r="G8" s="110" t="n">
        <v>-0.2246</v>
      </c>
      <c r="H8" s="109" t="n">
        <v>0.0736</v>
      </c>
      <c r="I8" s="106" t="inlineStr">
        <is>
          <t>[-0.2673, -0.1819]</t>
        </is>
      </c>
      <c r="J8" s="106" t="inlineStr">
        <is>
          <t>[-0.2773, -0.1719]</t>
        </is>
      </c>
      <c r="K8" s="111" t="n">
        <v>-9.642899999999999</v>
      </c>
      <c r="L8" s="112" t="n">
        <v>5e-06</v>
      </c>
      <c r="M8" s="106" t="inlineStr">
        <is>
          <t>***</t>
        </is>
      </c>
      <c r="N8" s="113" t="inlineStr">
        <is>
          <t>UI (P)</t>
        </is>
      </c>
      <c r="O8" s="106" t="inlineStr"/>
    </row>
    <row r="9">
      <c r="A9" s="99" t="inlineStr">
        <is>
          <t>DLPFC</t>
        </is>
      </c>
      <c r="B9" s="99" t="inlineStr">
        <is>
          <t>151510</t>
        </is>
      </c>
      <c r="C9" s="114" t="n">
        <v>10</v>
      </c>
      <c r="D9" s="115" t="n">
        <v>0.5</v>
      </c>
      <c r="E9" s="115" t="n">
        <v>0.0842</v>
      </c>
      <c r="F9" s="115" t="n">
        <v>0.696</v>
      </c>
      <c r="G9" s="116" t="n">
        <v>-0.196</v>
      </c>
      <c r="H9" s="115" t="n">
        <v>0.07480000000000001</v>
      </c>
      <c r="I9" s="107" t="inlineStr">
        <is>
          <t>[-0.2393, -0.1526]</t>
        </is>
      </c>
      <c r="J9" s="107" t="inlineStr">
        <is>
          <t>[-0.2495, -0.1425]</t>
        </is>
      </c>
      <c r="K9" s="117" t="n">
        <v>-8.2865</v>
      </c>
      <c r="L9" s="118" t="n">
        <v>1.7e-05</v>
      </c>
      <c r="M9" s="107" t="inlineStr">
        <is>
          <t>***</t>
        </is>
      </c>
      <c r="N9" s="119" t="inlineStr">
        <is>
          <t>UI (P)</t>
        </is>
      </c>
      <c r="O9" s="107" t="inlineStr"/>
    </row>
    <row r="10">
      <c r="A10" s="96" t="inlineStr">
        <is>
          <t>DLPFC</t>
        </is>
      </c>
      <c r="B10" s="96" t="inlineStr">
        <is>
          <t>151669</t>
        </is>
      </c>
      <c r="C10" s="108" t="n">
        <v>10</v>
      </c>
      <c r="D10" s="109" t="n">
        <v>0.7181</v>
      </c>
      <c r="E10" s="109" t="n">
        <v>0.054</v>
      </c>
      <c r="F10" s="109" t="n">
        <v>0.883</v>
      </c>
      <c r="G10" s="110" t="n">
        <v>-0.1649</v>
      </c>
      <c r="H10" s="109" t="n">
        <v>0.0483</v>
      </c>
      <c r="I10" s="106" t="inlineStr">
        <is>
          <t>[-0.1929, -0.1369]</t>
        </is>
      </c>
      <c r="J10" s="106" t="inlineStr">
        <is>
          <t>[-0.1995, -0.1303]</t>
        </is>
      </c>
      <c r="K10" s="111" t="n">
        <v>-10.7858</v>
      </c>
      <c r="L10" s="112" t="n">
        <v>2e-06</v>
      </c>
      <c r="M10" s="106" t="inlineStr">
        <is>
          <t>***</t>
        </is>
      </c>
      <c r="N10" s="113" t="inlineStr">
        <is>
          <t>UI (P)</t>
        </is>
      </c>
      <c r="O10" s="106" t="inlineStr"/>
    </row>
    <row r="11">
      <c r="A11" s="99" t="inlineStr">
        <is>
          <t>DLPFC</t>
        </is>
      </c>
      <c r="B11" s="99" t="inlineStr">
        <is>
          <t>151670</t>
        </is>
      </c>
      <c r="C11" s="114" t="n">
        <v>10</v>
      </c>
      <c r="D11" s="115" t="n">
        <v>0.7235</v>
      </c>
      <c r="E11" s="115" t="n">
        <v>0.0481</v>
      </c>
      <c r="F11" s="115" t="n">
        <v>0.825</v>
      </c>
      <c r="G11" s="116" t="n">
        <v>-0.1015</v>
      </c>
      <c r="H11" s="115" t="n">
        <v>0.051</v>
      </c>
      <c r="I11" s="107" t="inlineStr">
        <is>
          <t>[-0.1311, -0.0720]</t>
        </is>
      </c>
      <c r="J11" s="107" t="inlineStr">
        <is>
          <t>[-0.1380, -0.0651]</t>
        </is>
      </c>
      <c r="K11" s="117" t="n">
        <v>-6.3006</v>
      </c>
      <c r="L11" s="118" t="n">
        <v>0.000141</v>
      </c>
      <c r="M11" s="107" t="inlineStr">
        <is>
          <t>***</t>
        </is>
      </c>
      <c r="N11" s="119" t="inlineStr">
        <is>
          <t>UI (P)</t>
        </is>
      </c>
      <c r="O11" s="107" t="inlineStr"/>
    </row>
    <row r="12">
      <c r="A12" s="96" t="inlineStr">
        <is>
          <t>DLPFC</t>
        </is>
      </c>
      <c r="B12" s="96" t="inlineStr">
        <is>
          <t>151671</t>
        </is>
      </c>
      <c r="C12" s="108" t="n">
        <v>10</v>
      </c>
      <c r="D12" s="109" t="n">
        <v>0.7704</v>
      </c>
      <c r="E12" s="109" t="n">
        <v>0.0271</v>
      </c>
      <c r="F12" s="109" t="n">
        <v>0.836</v>
      </c>
      <c r="G12" s="110" t="n">
        <v>-0.06560000000000001</v>
      </c>
      <c r="H12" s="109" t="n">
        <v>0.0229</v>
      </c>
      <c r="I12" s="106" t="inlineStr">
        <is>
          <t>[-0.0789, -0.0523]</t>
        </is>
      </c>
      <c r="J12" s="106" t="inlineStr">
        <is>
          <t>[-0.0820, -0.0492]</t>
        </is>
      </c>
      <c r="K12" s="111" t="n">
        <v>-9.040900000000001</v>
      </c>
      <c r="L12" s="112" t="n">
        <v>8e-06</v>
      </c>
      <c r="M12" s="106" t="inlineStr">
        <is>
          <t>***</t>
        </is>
      </c>
      <c r="N12" s="113" t="inlineStr">
        <is>
          <t>UI (P)</t>
        </is>
      </c>
      <c r="O12" s="106" t="inlineStr"/>
    </row>
    <row r="13">
      <c r="A13" s="99" t="inlineStr">
        <is>
          <t>DLPFC</t>
        </is>
      </c>
      <c r="B13" s="99" t="inlineStr">
        <is>
          <t>151672</t>
        </is>
      </c>
      <c r="C13" s="114" t="n">
        <v>10</v>
      </c>
      <c r="D13" s="115" t="n">
        <v>0.7052</v>
      </c>
      <c r="E13" s="115" t="n">
        <v>0.0172</v>
      </c>
      <c r="F13" s="115" t="n">
        <v>0.752</v>
      </c>
      <c r="G13" s="116" t="n">
        <v>-0.0468</v>
      </c>
      <c r="H13" s="115" t="n">
        <v>0.024</v>
      </c>
      <c r="I13" s="107" t="inlineStr">
        <is>
          <t>[-0.0608, -0.0329]</t>
        </is>
      </c>
      <c r="J13" s="107" t="inlineStr">
        <is>
          <t>[-0.0640, -0.0297]</t>
        </is>
      </c>
      <c r="K13" s="117" t="n">
        <v>-6.1663</v>
      </c>
      <c r="L13" s="118" t="n">
        <v>0.000165</v>
      </c>
      <c r="M13" s="107" t="inlineStr">
        <is>
          <t>***</t>
        </is>
      </c>
      <c r="N13" s="119" t="inlineStr">
        <is>
          <t>UI (Toward ET)</t>
        </is>
      </c>
      <c r="O13" s="107" t="inlineStr">
        <is>
          <t>接近等效</t>
        </is>
      </c>
    </row>
    <row r="14">
      <c r="A14" s="96" t="inlineStr">
        <is>
          <t>DLPFC</t>
        </is>
      </c>
      <c r="B14" s="96" t="inlineStr">
        <is>
          <t>151673</t>
        </is>
      </c>
      <c r="C14" s="108" t="n">
        <v>10</v>
      </c>
      <c r="D14" s="109" t="n">
        <v>0.6606</v>
      </c>
      <c r="E14" s="109" t="n">
        <v>0.0502</v>
      </c>
      <c r="F14" s="109" t="n">
        <v>0.678</v>
      </c>
      <c r="G14" s="120" t="n">
        <v>-0.0173</v>
      </c>
      <c r="H14" s="109" t="n">
        <v>0.0554</v>
      </c>
      <c r="I14" s="106" t="inlineStr">
        <is>
          <t>[-0.0495, 0.0148]</t>
        </is>
      </c>
      <c r="J14" s="106" t="inlineStr">
        <is>
          <t>[-0.0570, 0.0223]</t>
        </is>
      </c>
      <c r="K14" s="111" t="n">
        <v>-0.9903</v>
      </c>
      <c r="L14" s="112" t="n">
        <v>0.347902</v>
      </c>
      <c r="M14" s="106" t="inlineStr">
        <is>
          <t>ns</t>
        </is>
      </c>
      <c r="N14" s="121" t="inlineStr">
        <is>
          <t>ET (Toward UI)</t>
        </is>
      </c>
      <c r="O14" s="106" t="inlineStr">
        <is>
          <t>与 Single 无显著差异</t>
        </is>
      </c>
    </row>
    <row r="15">
      <c r="A15" s="99" t="inlineStr">
        <is>
          <t>DLPFC</t>
        </is>
      </c>
      <c r="B15" s="99" t="inlineStr">
        <is>
          <t>151674</t>
        </is>
      </c>
      <c r="C15" s="114" t="n">
        <v>10</v>
      </c>
      <c r="D15" s="115" t="n">
        <v>0.6125</v>
      </c>
      <c r="E15" s="115" t="n">
        <v>0.0372</v>
      </c>
      <c r="F15" s="115" t="n">
        <v>0.673</v>
      </c>
      <c r="G15" s="116" t="n">
        <v>-0.0605</v>
      </c>
      <c r="H15" s="115" t="n">
        <v>0.06610000000000001</v>
      </c>
      <c r="I15" s="107" t="inlineStr">
        <is>
          <t>[-0.0988, -0.0221]</t>
        </is>
      </c>
      <c r="J15" s="107" t="inlineStr">
        <is>
          <t>[-0.1078, -0.0132]</t>
        </is>
      </c>
      <c r="K15" s="117" t="n">
        <v>-2.8917</v>
      </c>
      <c r="L15" s="118" t="n">
        <v>0.017834</v>
      </c>
      <c r="M15" s="107" t="inlineStr">
        <is>
          <t>*</t>
        </is>
      </c>
      <c r="N15" s="119" t="inlineStr">
        <is>
          <t>UI (Toward ET)</t>
        </is>
      </c>
      <c r="O15" s="107" t="inlineStr"/>
    </row>
    <row r="16">
      <c r="A16" s="96" t="inlineStr">
        <is>
          <t>DLPFC</t>
        </is>
      </c>
      <c r="B16" s="96" t="inlineStr">
        <is>
          <t>151675</t>
        </is>
      </c>
      <c r="C16" s="108" t="n">
        <v>10</v>
      </c>
      <c r="D16" s="109" t="n">
        <v>0.6107</v>
      </c>
      <c r="E16" s="109" t="n">
        <v>0.0384</v>
      </c>
      <c r="F16" s="109" t="n">
        <v>0.723</v>
      </c>
      <c r="G16" s="110" t="n">
        <v>-0.1123</v>
      </c>
      <c r="H16" s="109" t="n">
        <v>0.0535</v>
      </c>
      <c r="I16" s="106" t="inlineStr">
        <is>
          <t>[-0.1433, -0.0813]</t>
        </is>
      </c>
      <c r="J16" s="106" t="inlineStr">
        <is>
          <t>[-0.1506, -0.0740]</t>
        </is>
      </c>
      <c r="K16" s="111" t="n">
        <v>-6.6347</v>
      </c>
      <c r="L16" s="112" t="n">
        <v>9.500000000000001e-05</v>
      </c>
      <c r="M16" s="106" t="inlineStr">
        <is>
          <t>***</t>
        </is>
      </c>
      <c r="N16" s="113" t="inlineStr">
        <is>
          <t>UI (P)</t>
        </is>
      </c>
      <c r="O16" s="106" t="inlineStr"/>
    </row>
    <row r="17">
      <c r="A17" s="99" t="inlineStr">
        <is>
          <t>DLPFC</t>
        </is>
      </c>
      <c r="B17" s="99" t="inlineStr">
        <is>
          <t>151676</t>
        </is>
      </c>
      <c r="C17" s="114" t="n">
        <v>10</v>
      </c>
      <c r="D17" s="115" t="n">
        <v>0.5967</v>
      </c>
      <c r="E17" s="115" t="n">
        <v>0.0514</v>
      </c>
      <c r="F17" s="115" t="n">
        <v>0.6909999999999999</v>
      </c>
      <c r="G17" s="116" t="n">
        <v>-0.09429999999999999</v>
      </c>
      <c r="H17" s="115" t="n">
        <v>0.0565</v>
      </c>
      <c r="I17" s="107" t="inlineStr">
        <is>
          <t>[-0.1271, -0.0616]</t>
        </is>
      </c>
      <c r="J17" s="107" t="inlineStr">
        <is>
          <t>[-0.1347, -0.0539]</t>
        </is>
      </c>
      <c r="K17" s="117" t="n">
        <v>-5.2813</v>
      </c>
      <c r="L17" s="118" t="n">
        <v>0.000506</v>
      </c>
      <c r="M17" s="107" t="inlineStr">
        <is>
          <t>***</t>
        </is>
      </c>
      <c r="N17" s="119" t="inlineStr">
        <is>
          <t>UI (P)</t>
        </is>
      </c>
      <c r="O17" s="107" t="inlineStr"/>
    </row>
    <row r="18">
      <c r="A18" s="122" t="inlineStr">
        <is>
          <t>小计 / 均值</t>
        </is>
      </c>
      <c r="B18" s="122" t="inlineStr">
        <is>
          <t>12 片</t>
        </is>
      </c>
      <c r="C18" s="123" t="inlineStr"/>
      <c r="D18" s="124" t="n">
        <v>0.6384</v>
      </c>
      <c r="E18" s="124" t="inlineStr"/>
      <c r="F18" s="124" t="n">
        <v>0.7366</v>
      </c>
      <c r="G18" s="125" t="n">
        <v>-0.0982</v>
      </c>
      <c r="H18" s="124" t="inlineStr"/>
      <c r="I18" s="126" t="inlineStr">
        <is>
          <t>Δ 范围 -0.2246 ~ -0.0173</t>
        </is>
      </c>
      <c r="J18" s="126" t="inlineStr"/>
      <c r="K18" s="127" t="inlineStr"/>
      <c r="L18" s="128" t="inlineStr"/>
      <c r="M18" s="126" t="inlineStr"/>
      <c r="N18" s="126" t="inlineStr">
        <is>
          <t>全部为负</t>
        </is>
      </c>
      <c r="O18" s="126" t="inlineStr"/>
    </row>
    <row r="20" ht="20" customHeight="1" s="77">
      <c r="A20" s="92" t="inlineStr">
        <is>
          <t xml:space="preserve">  MERFISH_frontal_cortex (MFC) — 9 个切片</t>
        </is>
      </c>
    </row>
    <row r="21">
      <c r="A21" s="96" t="inlineStr">
        <is>
          <t>MERFISH_frontal_cortex</t>
        </is>
      </c>
      <c r="B21" s="96" t="inlineStr">
        <is>
          <t>4_0</t>
        </is>
      </c>
      <c r="C21" s="108" t="n">
        <v>10</v>
      </c>
      <c r="D21" s="109" t="n">
        <v>0.4658</v>
      </c>
      <c r="E21" s="109" t="n">
        <v>0.1446</v>
      </c>
      <c r="F21" s="109" t="n">
        <v>0.771</v>
      </c>
      <c r="G21" s="110" t="n">
        <v>-0.3051</v>
      </c>
      <c r="H21" s="109" t="n">
        <v>0.1476</v>
      </c>
      <c r="I21" s="106" t="inlineStr">
        <is>
          <t>[-0.3907, -0.2196]</t>
        </is>
      </c>
      <c r="J21" s="106" t="inlineStr">
        <is>
          <t>[-0.4107, -0.1996]</t>
        </is>
      </c>
      <c r="K21" s="111" t="n">
        <v>-6.5385</v>
      </c>
      <c r="L21" s="112" t="n">
        <v>0.000107</v>
      </c>
      <c r="M21" s="106" t="inlineStr">
        <is>
          <t>***</t>
        </is>
      </c>
      <c r="N21" s="113" t="inlineStr">
        <is>
          <t>UI (P)</t>
        </is>
      </c>
      <c r="O21" s="106" t="inlineStr"/>
    </row>
    <row r="22">
      <c r="A22" s="99" t="inlineStr">
        <is>
          <t>MERFISH_frontal_cortex</t>
        </is>
      </c>
      <c r="B22" s="99" t="inlineStr">
        <is>
          <t>4_1</t>
        </is>
      </c>
      <c r="C22" s="114" t="n">
        <v>10</v>
      </c>
      <c r="D22" s="115" t="n">
        <v>0.7268</v>
      </c>
      <c r="E22" s="115" t="n">
        <v>0.0451</v>
      </c>
      <c r="F22" s="115" t="n">
        <v>0.846</v>
      </c>
      <c r="G22" s="116" t="n">
        <v>-0.1192</v>
      </c>
      <c r="H22" s="115" t="n">
        <v>0.049</v>
      </c>
      <c r="I22" s="107" t="inlineStr">
        <is>
          <t>[-0.1476, -0.0908]</t>
        </is>
      </c>
      <c r="J22" s="107" t="inlineStr">
        <is>
          <t>[-0.1543, -0.0841]</t>
        </is>
      </c>
      <c r="K22" s="117" t="n">
        <v>-7.6894</v>
      </c>
      <c r="L22" s="118" t="n">
        <v>3e-05</v>
      </c>
      <c r="M22" s="107" t="inlineStr">
        <is>
          <t>***</t>
        </is>
      </c>
      <c r="N22" s="119" t="inlineStr">
        <is>
          <t>UI (P)</t>
        </is>
      </c>
      <c r="O22" s="107" t="inlineStr"/>
    </row>
    <row r="23">
      <c r="A23" s="96" t="inlineStr">
        <is>
          <t>MERFISH_frontal_cortex</t>
        </is>
      </c>
      <c r="B23" s="96" t="inlineStr">
        <is>
          <t>4_2</t>
        </is>
      </c>
      <c r="C23" s="108" t="n">
        <v>10</v>
      </c>
      <c r="D23" s="109" t="n">
        <v>0.7083</v>
      </c>
      <c r="E23" s="109" t="n">
        <v>0.0278</v>
      </c>
      <c r="F23" s="109" t="n">
        <v>0.771</v>
      </c>
      <c r="G23" s="110" t="n">
        <v>-0.06279999999999999</v>
      </c>
      <c r="H23" s="109" t="n">
        <v>0.0439</v>
      </c>
      <c r="I23" s="106" t="inlineStr">
        <is>
          <t>[-0.0882, -0.0373]</t>
        </is>
      </c>
      <c r="J23" s="106" t="inlineStr">
        <is>
          <t>[-0.0941, -0.0314]</t>
        </is>
      </c>
      <c r="K23" s="111" t="n">
        <v>-4.5256</v>
      </c>
      <c r="L23" s="112" t="n">
        <v>0.001435</v>
      </c>
      <c r="M23" s="106" t="inlineStr">
        <is>
          <t>**</t>
        </is>
      </c>
      <c r="N23" s="113" t="inlineStr">
        <is>
          <t>UI (Toward ET)</t>
        </is>
      </c>
      <c r="O23" s="106" t="inlineStr"/>
    </row>
    <row r="24">
      <c r="A24" s="99" t="inlineStr">
        <is>
          <t>MERFISH_frontal_cortex</t>
        </is>
      </c>
      <c r="B24" s="99" t="inlineStr">
        <is>
          <t>6_0</t>
        </is>
      </c>
      <c r="C24" s="114" t="n">
        <v>10</v>
      </c>
      <c r="D24" s="115" t="n">
        <v>0.5034999999999999</v>
      </c>
      <c r="E24" s="115" t="n">
        <v>0.0295</v>
      </c>
      <c r="F24" s="115" t="n">
        <v>0.738</v>
      </c>
      <c r="G24" s="116" t="n">
        <v>-0.2345</v>
      </c>
      <c r="H24" s="115" t="n">
        <v>0.0455</v>
      </c>
      <c r="I24" s="107" t="inlineStr">
        <is>
          <t>[-0.2608, -0.2081]</t>
        </is>
      </c>
      <c r="J24" s="107" t="inlineStr">
        <is>
          <t>[-0.2670, -0.2020]</t>
        </is>
      </c>
      <c r="K24" s="117" t="n">
        <v>-16.3073</v>
      </c>
      <c r="L24" s="118" t="inlineStr">
        <is>
          <t>&lt;0.000001</t>
        </is>
      </c>
      <c r="M24" s="107" t="inlineStr">
        <is>
          <t>***</t>
        </is>
      </c>
      <c r="N24" s="119" t="inlineStr">
        <is>
          <t>UI (P)</t>
        </is>
      </c>
      <c r="O24" s="107" t="inlineStr"/>
    </row>
    <row r="25">
      <c r="A25" s="96" t="inlineStr">
        <is>
          <t>MERFISH_frontal_cortex</t>
        </is>
      </c>
      <c r="B25" s="96" t="inlineStr">
        <is>
          <t>6_1</t>
        </is>
      </c>
      <c r="C25" s="108" t="n">
        <v>10</v>
      </c>
      <c r="D25" s="109" t="n">
        <v>0.5945</v>
      </c>
      <c r="E25" s="109" t="n">
        <v>0.0266</v>
      </c>
      <c r="F25" s="109" t="n">
        <v>0.839</v>
      </c>
      <c r="G25" s="110" t="n">
        <v>-0.2445</v>
      </c>
      <c r="H25" s="109" t="n">
        <v>0.0237</v>
      </c>
      <c r="I25" s="106" t="inlineStr">
        <is>
          <t>[-0.2582, -0.2308]</t>
        </is>
      </c>
      <c r="J25" s="106" t="inlineStr">
        <is>
          <t>[-0.2615, -0.2276]</t>
        </is>
      </c>
      <c r="K25" s="111" t="n">
        <v>-32.6588</v>
      </c>
      <c r="L25" s="112" t="inlineStr">
        <is>
          <t>&lt;0.000001</t>
        </is>
      </c>
      <c r="M25" s="106" t="inlineStr">
        <is>
          <t>***</t>
        </is>
      </c>
      <c r="N25" s="113" t="inlineStr">
        <is>
          <t>UI (P)</t>
        </is>
      </c>
      <c r="O25" s="106" t="inlineStr"/>
    </row>
    <row r="26">
      <c r="A26" s="99" t="inlineStr">
        <is>
          <t>MERFISH_frontal_cortex</t>
        </is>
      </c>
      <c r="B26" s="99" t="inlineStr">
        <is>
          <t>6_2</t>
        </is>
      </c>
      <c r="C26" s="114" t="n">
        <v>10</v>
      </c>
      <c r="D26" s="115" t="n">
        <v>0.5504</v>
      </c>
      <c r="E26" s="115" t="n">
        <v>0.0201</v>
      </c>
      <c r="F26" s="115" t="n">
        <v>0.757</v>
      </c>
      <c r="G26" s="116" t="n">
        <v>-0.2066</v>
      </c>
      <c r="H26" s="115" t="n">
        <v>0.0237</v>
      </c>
      <c r="I26" s="107" t="inlineStr">
        <is>
          <t>[-0.2204, -0.1929]</t>
        </is>
      </c>
      <c r="J26" s="107" t="inlineStr">
        <is>
          <t>[-0.2236, -0.1897]</t>
        </is>
      </c>
      <c r="K26" s="117" t="n">
        <v>-27.5968</v>
      </c>
      <c r="L26" s="118" t="inlineStr">
        <is>
          <t>&lt;0.000001</t>
        </is>
      </c>
      <c r="M26" s="107" t="inlineStr">
        <is>
          <t>***</t>
        </is>
      </c>
      <c r="N26" s="119" t="inlineStr">
        <is>
          <t>UI (P)</t>
        </is>
      </c>
      <c r="O26" s="107" t="inlineStr"/>
    </row>
    <row r="27">
      <c r="A27" s="96" t="inlineStr">
        <is>
          <t>MERFISH_frontal_cortex</t>
        </is>
      </c>
      <c r="B27" s="96" t="inlineStr">
        <is>
          <t>8_0</t>
        </is>
      </c>
      <c r="C27" s="108" t="n">
        <v>10</v>
      </c>
      <c r="D27" s="109" t="n">
        <v>0.8623</v>
      </c>
      <c r="E27" s="109" t="n">
        <v>0.0165</v>
      </c>
      <c r="F27" s="109" t="n">
        <v>0.892</v>
      </c>
      <c r="G27" s="120" t="n">
        <v>-0.0298</v>
      </c>
      <c r="H27" s="109" t="n">
        <v>0.031</v>
      </c>
      <c r="I27" s="106" t="inlineStr">
        <is>
          <t>[-0.0478, -0.0118]</t>
        </is>
      </c>
      <c r="J27" s="106" t="inlineStr">
        <is>
          <t>[-0.0520, -0.0076]</t>
        </is>
      </c>
      <c r="K27" s="111" t="n">
        <v>-3.0321</v>
      </c>
      <c r="L27" s="112" t="n">
        <v>0.014198</v>
      </c>
      <c r="M27" s="106" t="inlineStr">
        <is>
          <t>*</t>
        </is>
      </c>
      <c r="N27" s="121" t="inlineStr">
        <is>
          <t>ET (Toward UI)</t>
        </is>
      </c>
      <c r="O27" s="106" t="inlineStr">
        <is>
          <t>接近等效</t>
        </is>
      </c>
    </row>
    <row r="28">
      <c r="A28" s="99" t="inlineStr">
        <is>
          <t>MERFISH_frontal_cortex</t>
        </is>
      </c>
      <c r="B28" s="99" t="inlineStr">
        <is>
          <t>8_1</t>
        </is>
      </c>
      <c r="C28" s="114" t="n">
        <v>10</v>
      </c>
      <c r="D28" s="115" t="n">
        <v>0.6503</v>
      </c>
      <c r="E28" s="115" t="n">
        <v>0.0341</v>
      </c>
      <c r="F28" s="115" t="n">
        <v>0.721</v>
      </c>
      <c r="G28" s="116" t="n">
        <v>-0.0707</v>
      </c>
      <c r="H28" s="115" t="n">
        <v>0.0453</v>
      </c>
      <c r="I28" s="107" t="inlineStr">
        <is>
          <t>[-0.0970, -0.0445]</t>
        </is>
      </c>
      <c r="J28" s="107" t="inlineStr">
        <is>
          <t>[-0.1031, -0.0383]</t>
        </is>
      </c>
      <c r="K28" s="117" t="n">
        <v>-4.9385</v>
      </c>
      <c r="L28" s="118" t="n">
        <v>0.000804</v>
      </c>
      <c r="M28" s="107" t="inlineStr">
        <is>
          <t>***</t>
        </is>
      </c>
      <c r="N28" s="119" t="inlineStr">
        <is>
          <t>UI (Toward ET)</t>
        </is>
      </c>
      <c r="O28" s="107" t="inlineStr"/>
    </row>
    <row r="29">
      <c r="A29" s="96" t="inlineStr">
        <is>
          <t>MERFISH_frontal_cortex</t>
        </is>
      </c>
      <c r="B29" s="96" t="inlineStr">
        <is>
          <t>8_2</t>
        </is>
      </c>
      <c r="C29" s="108" t="n">
        <v>10</v>
      </c>
      <c r="D29" s="109" t="n">
        <v>0.727</v>
      </c>
      <c r="E29" s="109" t="n">
        <v>0.0191</v>
      </c>
      <c r="F29" s="109" t="n">
        <v>0.8129999999999999</v>
      </c>
      <c r="G29" s="110" t="n">
        <v>-0.08599999999999999</v>
      </c>
      <c r="H29" s="109" t="n">
        <v>0.0214</v>
      </c>
      <c r="I29" s="106" t="inlineStr">
        <is>
          <t>[-0.0984, -0.0736]</t>
        </is>
      </c>
      <c r="J29" s="106" t="inlineStr">
        <is>
          <t>[-0.1013, -0.0707]</t>
        </is>
      </c>
      <c r="K29" s="111" t="n">
        <v>-12.7163</v>
      </c>
      <c r="L29" s="112" t="inlineStr">
        <is>
          <t>&lt;0.000001</t>
        </is>
      </c>
      <c r="M29" s="106" t="inlineStr">
        <is>
          <t>***</t>
        </is>
      </c>
      <c r="N29" s="113" t="inlineStr">
        <is>
          <t>UI (P)</t>
        </is>
      </c>
      <c r="O29" s="106" t="inlineStr"/>
    </row>
    <row r="30">
      <c r="A30" s="122" t="inlineStr">
        <is>
          <t>小计 / 均值</t>
        </is>
      </c>
      <c r="B30" s="122" t="inlineStr">
        <is>
          <t>9 片</t>
        </is>
      </c>
      <c r="C30" s="123" t="inlineStr"/>
      <c r="D30" s="124" t="n">
        <v>0.6432</v>
      </c>
      <c r="E30" s="124" t="inlineStr"/>
      <c r="F30" s="124" t="n">
        <v>0.7942</v>
      </c>
      <c r="G30" s="125" t="n">
        <v>-0.151</v>
      </c>
      <c r="H30" s="124" t="inlineStr"/>
      <c r="I30" s="126" t="inlineStr">
        <is>
          <t>Δ 范围 -0.3051 ~ -0.0298</t>
        </is>
      </c>
      <c r="J30" s="126" t="inlineStr"/>
      <c r="K30" s="127" t="inlineStr"/>
      <c r="L30" s="128" t="inlineStr"/>
      <c r="M30" s="126" t="inlineStr"/>
      <c r="N30" s="126" t="inlineStr">
        <is>
          <t>全部为负</t>
        </is>
      </c>
      <c r="O30" s="126" t="inlineStr"/>
    </row>
    <row r="32" ht="20" customHeight="1" s="77">
      <c r="A32" s="92" t="inlineStr">
        <is>
          <t xml:space="preserve">  结论</t>
        </is>
      </c>
    </row>
    <row r="33">
      <c r="A33" s="129" t="inlineStr">
        <is>
          <t>· 全部 21 个切片 Δ 均为负 —— 同数据集内留一预训练整体劣于 Single，不存在切片级正迁移。</t>
        </is>
      </c>
    </row>
    <row r="34">
      <c r="A34" s="129" t="inlineStr">
        <is>
          <t>· DLPFC 151673（Δ=−0.017，p=0.35）为唯一与 Single 无显著差异的切片；151509（−0.225）、151510（−0.196）最差。</t>
        </is>
      </c>
    </row>
    <row r="35">
      <c r="A35" s="129" t="inlineStr">
        <is>
          <t>· MFC 8_0（−0.030）最接近等效；4_0（−0.305）、6_1（−0.245）最差。</t>
        </is>
      </c>
    </row>
    <row r="36">
      <c r="A36" s="129" t="inlineStr">
        <is>
          <t>· 边界含义：预训练-适配范式的收益来自全局多源预训练（完整 LOO），而非同数据集内的小规模同源预训练。</t>
        </is>
      </c>
    </row>
  </sheetData>
  <autoFilter ref="A4:O37"/>
  <mergeCells count="9">
    <mergeCell ref="A35:O35"/>
    <mergeCell ref="A20:O20"/>
    <mergeCell ref="A2:O2"/>
    <mergeCell ref="A33:O33"/>
    <mergeCell ref="A36:O36"/>
    <mergeCell ref="A1:O1"/>
    <mergeCell ref="A5:O5"/>
    <mergeCell ref="A32:O32"/>
    <mergeCell ref="A34:O34"/>
  </mergeCells>
  <pageMargins left="0.75" right="0.75" top="1" bottom="1" header="0.5" footer="0.5"/>
  <pageSetup orientation="landscape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O63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style="77" min="1" max="1"/>
    <col width="12" customWidth="1" style="77" min="2" max="2"/>
    <col width="12" customWidth="1" style="77" min="3" max="3"/>
    <col width="8" customWidth="1" style="77" min="4" max="4"/>
    <col width="11" customWidth="1" style="77" min="5" max="5"/>
    <col width="9" customWidth="1" style="77" min="6" max="6"/>
    <col width="11" customWidth="1" style="77" min="7" max="7"/>
    <col width="14" customWidth="1" style="77" min="8" max="8"/>
    <col width="9" customWidth="1" style="77" min="9" max="9"/>
    <col width="20" customWidth="1" style="77" min="10" max="10"/>
    <col width="20" customWidth="1" style="77" min="11" max="11"/>
    <col width="9" customWidth="1" style="77" min="12" max="12"/>
    <col width="11" customWidth="1" style="77" min="13" max="13"/>
    <col width="9" customWidth="1" style="77" min="14" max="14"/>
    <col width="17" customWidth="1" style="77" min="15" max="15"/>
  </cols>
  <sheetData>
    <row r="1" ht="26" customHeight="1" s="77">
      <c r="A1" s="90" t="inlineStr">
        <is>
          <t>P4 subject-to-subject transfer — 个体间迁移</t>
        </is>
      </c>
    </row>
    <row r="2" ht="18" customHeight="1" s="77">
      <c r="A2" s="91" t="inlineStr">
        <is>
          <t>一个 donor / subject 的全部切片做预训练 → 另一个 donor / subject 的每个切片做适配；10 种子 × 5% 标注</t>
        </is>
      </c>
    </row>
    <row r="4" ht="32" customHeight="1" s="77">
      <c r="A4" s="93" t="inlineStr">
        <is>
          <t>数据集</t>
        </is>
      </c>
      <c r="B4" s="93" t="inlineStr">
        <is>
          <t>源个体</t>
        </is>
      </c>
      <c r="C4" s="93" t="inlineStr">
        <is>
          <t>目标切片</t>
        </is>
      </c>
      <c r="D4" s="93" t="inlineStr">
        <is>
          <t>种子数</t>
        </is>
      </c>
      <c r="E4" s="93" t="inlineStr">
        <is>
          <t>迁移 ARI</t>
        </is>
      </c>
      <c r="F4" s="93" t="inlineStr">
        <is>
          <t>± std</t>
        </is>
      </c>
      <c r="G4" s="93" t="inlineStr">
        <is>
          <t>Single 基线</t>
        </is>
      </c>
      <c r="H4" s="93" t="inlineStr">
        <is>
          <t>Δ (迁移−Single)</t>
        </is>
      </c>
      <c r="I4" s="93" t="inlineStr">
        <is>
          <t>Δ std</t>
        </is>
      </c>
      <c r="J4" s="93" t="inlineStr">
        <is>
          <t>90% CI</t>
        </is>
      </c>
      <c r="K4" s="93" t="inlineStr">
        <is>
          <t>95% CI</t>
        </is>
      </c>
      <c r="L4" s="93" t="inlineStr">
        <is>
          <t>t 值</t>
        </is>
      </c>
      <c r="M4" s="93" t="inlineStr">
        <is>
          <t>p 值</t>
        </is>
      </c>
      <c r="N4" s="93" t="inlineStr">
        <is>
          <t>显著性</t>
        </is>
      </c>
      <c r="O4" s="93" t="inlineStr">
        <is>
          <t>迁移分类 (95%CI)</t>
        </is>
      </c>
    </row>
    <row r="5" ht="20" customHeight="1" s="77">
      <c r="A5" s="92" t="inlineStr">
        <is>
          <t xml:space="preserve">  DLPFC（Donor1/2/3，每 donor 4 片） — 24 对</t>
        </is>
      </c>
    </row>
    <row r="6">
      <c r="A6" s="96" t="inlineStr">
        <is>
          <t>DLPFC</t>
        </is>
      </c>
      <c r="B6" s="96" t="inlineStr">
        <is>
          <t>Donor1</t>
        </is>
      </c>
      <c r="C6" s="96" t="inlineStr">
        <is>
          <t>151669</t>
        </is>
      </c>
      <c r="D6" s="108" t="n">
        <v>10</v>
      </c>
      <c r="E6" s="109" t="n">
        <v>0.7277</v>
      </c>
      <c r="F6" s="109" t="n">
        <v>0.0319</v>
      </c>
      <c r="G6" s="109" t="n">
        <v>0.883</v>
      </c>
      <c r="H6" s="110" t="n">
        <v>-0.1553</v>
      </c>
      <c r="I6" s="109" t="n">
        <v>0.038</v>
      </c>
      <c r="J6" s="106" t="inlineStr">
        <is>
          <t>[-0.1774, -0.1333]</t>
        </is>
      </c>
      <c r="K6" s="106" t="inlineStr">
        <is>
          <t>[-0.1825, -0.1281]</t>
        </is>
      </c>
      <c r="L6" s="111" t="n">
        <v>-12.9186</v>
      </c>
      <c r="M6" s="112" t="inlineStr">
        <is>
          <t>&lt;0.000001</t>
        </is>
      </c>
      <c r="N6" s="106" t="inlineStr">
        <is>
          <t>***</t>
        </is>
      </c>
      <c r="O6" s="113" t="inlineStr">
        <is>
          <t>UI (P)</t>
        </is>
      </c>
    </row>
    <row r="7">
      <c r="A7" s="99" t="inlineStr">
        <is>
          <t>DLPFC</t>
        </is>
      </c>
      <c r="B7" s="99" t="inlineStr">
        <is>
          <t>Donor1</t>
        </is>
      </c>
      <c r="C7" s="99" t="inlineStr">
        <is>
          <t>151670</t>
        </is>
      </c>
      <c r="D7" s="114" t="n">
        <v>10</v>
      </c>
      <c r="E7" s="115" t="n">
        <v>0.7226</v>
      </c>
      <c r="F7" s="115" t="n">
        <v>0.0393</v>
      </c>
      <c r="G7" s="115" t="n">
        <v>0.825</v>
      </c>
      <c r="H7" s="116" t="n">
        <v>-0.1024</v>
      </c>
      <c r="I7" s="115" t="n">
        <v>0.0359</v>
      </c>
      <c r="J7" s="107" t="inlineStr">
        <is>
          <t>[-0.1232, -0.0816]</t>
        </is>
      </c>
      <c r="K7" s="107" t="inlineStr">
        <is>
          <t>[-0.1281, -0.0768]</t>
        </is>
      </c>
      <c r="L7" s="117" t="n">
        <v>-9.0335</v>
      </c>
      <c r="M7" s="118" t="n">
        <v>8e-06</v>
      </c>
      <c r="N7" s="107" t="inlineStr">
        <is>
          <t>***</t>
        </is>
      </c>
      <c r="O7" s="119" t="inlineStr">
        <is>
          <t>UI (P)</t>
        </is>
      </c>
    </row>
    <row r="8">
      <c r="A8" s="96" t="inlineStr">
        <is>
          <t>DLPFC</t>
        </is>
      </c>
      <c r="B8" s="96" t="inlineStr">
        <is>
          <t>Donor1</t>
        </is>
      </c>
      <c r="C8" s="96" t="inlineStr">
        <is>
          <t>151671</t>
        </is>
      </c>
      <c r="D8" s="108" t="n">
        <v>10</v>
      </c>
      <c r="E8" s="109" t="n">
        <v>0.7278</v>
      </c>
      <c r="F8" s="109" t="n">
        <v>0.0287</v>
      </c>
      <c r="G8" s="109" t="n">
        <v>0.836</v>
      </c>
      <c r="H8" s="110" t="n">
        <v>-0.1082</v>
      </c>
      <c r="I8" s="109" t="n">
        <v>0.0247</v>
      </c>
      <c r="J8" s="106" t="inlineStr">
        <is>
          <t>[-0.1225, -0.0939]</t>
        </is>
      </c>
      <c r="K8" s="106" t="inlineStr">
        <is>
          <t>[-0.1259, -0.0906]</t>
        </is>
      </c>
      <c r="L8" s="111" t="n">
        <v>-13.8668</v>
      </c>
      <c r="M8" s="112" t="inlineStr">
        <is>
          <t>&lt;0.000001</t>
        </is>
      </c>
      <c r="N8" s="106" t="inlineStr">
        <is>
          <t>***</t>
        </is>
      </c>
      <c r="O8" s="113" t="inlineStr">
        <is>
          <t>UI (P)</t>
        </is>
      </c>
    </row>
    <row r="9">
      <c r="A9" s="99" t="inlineStr">
        <is>
          <t>DLPFC</t>
        </is>
      </c>
      <c r="B9" s="99" t="inlineStr">
        <is>
          <t>Donor1</t>
        </is>
      </c>
      <c r="C9" s="99" t="inlineStr">
        <is>
          <t>151672</t>
        </is>
      </c>
      <c r="D9" s="114" t="n">
        <v>10</v>
      </c>
      <c r="E9" s="115" t="n">
        <v>0.6041</v>
      </c>
      <c r="F9" s="115" t="n">
        <v>0.0589</v>
      </c>
      <c r="G9" s="115" t="n">
        <v>0.752</v>
      </c>
      <c r="H9" s="116" t="n">
        <v>-0.1479</v>
      </c>
      <c r="I9" s="115" t="n">
        <v>0.06</v>
      </c>
      <c r="J9" s="107" t="inlineStr">
        <is>
          <t>[-0.1827, -0.1131]</t>
        </is>
      </c>
      <c r="K9" s="107" t="inlineStr">
        <is>
          <t>[-0.1909, -0.1050]</t>
        </is>
      </c>
      <c r="L9" s="117" t="n">
        <v>-7.792</v>
      </c>
      <c r="M9" s="118" t="n">
        <v>2.7e-05</v>
      </c>
      <c r="N9" s="107" t="inlineStr">
        <is>
          <t>***</t>
        </is>
      </c>
      <c r="O9" s="119" t="inlineStr">
        <is>
          <t>UI (P)</t>
        </is>
      </c>
    </row>
    <row r="10">
      <c r="A10" s="96" t="inlineStr">
        <is>
          <t>DLPFC</t>
        </is>
      </c>
      <c r="B10" s="96" t="inlineStr">
        <is>
          <t>Donor1</t>
        </is>
      </c>
      <c r="C10" s="96" t="inlineStr">
        <is>
          <t>151673</t>
        </is>
      </c>
      <c r="D10" s="108" t="n">
        <v>10</v>
      </c>
      <c r="E10" s="109" t="n">
        <v>0.5746</v>
      </c>
      <c r="F10" s="109" t="n">
        <v>0.0337</v>
      </c>
      <c r="G10" s="109" t="n">
        <v>0.678</v>
      </c>
      <c r="H10" s="110" t="n">
        <v>-0.1034</v>
      </c>
      <c r="I10" s="109" t="n">
        <v>0.0433</v>
      </c>
      <c r="J10" s="106" t="inlineStr">
        <is>
          <t>[-0.1285, -0.0783]</t>
        </is>
      </c>
      <c r="K10" s="106" t="inlineStr">
        <is>
          <t>[-0.1343, -0.0724]</t>
        </is>
      </c>
      <c r="L10" s="111" t="n">
        <v>-7.5493</v>
      </c>
      <c r="M10" s="112" t="n">
        <v>3.5e-05</v>
      </c>
      <c r="N10" s="106" t="inlineStr">
        <is>
          <t>***</t>
        </is>
      </c>
      <c r="O10" s="113" t="inlineStr">
        <is>
          <t>UI (P)</t>
        </is>
      </c>
    </row>
    <row r="11">
      <c r="A11" s="99" t="inlineStr">
        <is>
          <t>DLPFC</t>
        </is>
      </c>
      <c r="B11" s="99" t="inlineStr">
        <is>
          <t>Donor1</t>
        </is>
      </c>
      <c r="C11" s="99" t="inlineStr">
        <is>
          <t>151674</t>
        </is>
      </c>
      <c r="D11" s="114" t="n">
        <v>10</v>
      </c>
      <c r="E11" s="115" t="n">
        <v>0.5497</v>
      </c>
      <c r="F11" s="115" t="n">
        <v>0.0281</v>
      </c>
      <c r="G11" s="115" t="n">
        <v>0.673</v>
      </c>
      <c r="H11" s="116" t="n">
        <v>-0.1233</v>
      </c>
      <c r="I11" s="115" t="n">
        <v>0.0409</v>
      </c>
      <c r="J11" s="107" t="inlineStr">
        <is>
          <t>[-0.1470, -0.0996]</t>
        </is>
      </c>
      <c r="K11" s="107" t="inlineStr">
        <is>
          <t>[-0.1526, -0.0941]</t>
        </is>
      </c>
      <c r="L11" s="117" t="n">
        <v>-9.5365</v>
      </c>
      <c r="M11" s="118" t="n">
        <v>5e-06</v>
      </c>
      <c r="N11" s="107" t="inlineStr">
        <is>
          <t>***</t>
        </is>
      </c>
      <c r="O11" s="119" t="inlineStr">
        <is>
          <t>UI (P)</t>
        </is>
      </c>
    </row>
    <row r="12">
      <c r="A12" s="96" t="inlineStr">
        <is>
          <t>DLPFC</t>
        </is>
      </c>
      <c r="B12" s="96" t="inlineStr">
        <is>
          <t>Donor1</t>
        </is>
      </c>
      <c r="C12" s="96" t="inlineStr">
        <is>
          <t>151675</t>
        </is>
      </c>
      <c r="D12" s="108" t="n">
        <v>10</v>
      </c>
      <c r="E12" s="109" t="n">
        <v>0.5145</v>
      </c>
      <c r="F12" s="109" t="n">
        <v>0.0378</v>
      </c>
      <c r="G12" s="109" t="n">
        <v>0.723</v>
      </c>
      <c r="H12" s="110" t="n">
        <v>-0.2085</v>
      </c>
      <c r="I12" s="109" t="n">
        <v>0.0441</v>
      </c>
      <c r="J12" s="106" t="inlineStr">
        <is>
          <t>[-0.2340, -0.1830]</t>
        </is>
      </c>
      <c r="K12" s="106" t="inlineStr">
        <is>
          <t>[-0.2400, -0.1770]</t>
        </is>
      </c>
      <c r="L12" s="111" t="n">
        <v>-14.9612</v>
      </c>
      <c r="M12" s="112" t="inlineStr">
        <is>
          <t>&lt;0.000001</t>
        </is>
      </c>
      <c r="N12" s="106" t="inlineStr">
        <is>
          <t>***</t>
        </is>
      </c>
      <c r="O12" s="113" t="inlineStr">
        <is>
          <t>UI (P)</t>
        </is>
      </c>
    </row>
    <row r="13">
      <c r="A13" s="99" t="inlineStr">
        <is>
          <t>DLPFC</t>
        </is>
      </c>
      <c r="B13" s="99" t="inlineStr">
        <is>
          <t>Donor1</t>
        </is>
      </c>
      <c r="C13" s="99" t="inlineStr">
        <is>
          <t>151676</t>
        </is>
      </c>
      <c r="D13" s="114" t="n">
        <v>10</v>
      </c>
      <c r="E13" s="115" t="n">
        <v>0.497</v>
      </c>
      <c r="F13" s="115" t="n">
        <v>0.0211</v>
      </c>
      <c r="G13" s="115" t="n">
        <v>0.6909999999999999</v>
      </c>
      <c r="H13" s="116" t="n">
        <v>-0.194</v>
      </c>
      <c r="I13" s="115" t="n">
        <v>0.038</v>
      </c>
      <c r="J13" s="107" t="inlineStr">
        <is>
          <t>[-0.2160, -0.1719]</t>
        </is>
      </c>
      <c r="K13" s="107" t="inlineStr">
        <is>
          <t>[-0.2212, -0.1668]</t>
        </is>
      </c>
      <c r="L13" s="117" t="n">
        <v>-16.1238</v>
      </c>
      <c r="M13" s="118" t="inlineStr">
        <is>
          <t>&lt;0.000001</t>
        </is>
      </c>
      <c r="N13" s="107" t="inlineStr">
        <is>
          <t>***</t>
        </is>
      </c>
      <c r="O13" s="119" t="inlineStr">
        <is>
          <t>UI (P)</t>
        </is>
      </c>
    </row>
    <row r="14">
      <c r="A14" s="122" t="inlineStr"/>
      <c r="B14" s="122" t="inlineStr">
        <is>
          <t>Donor1 均值</t>
        </is>
      </c>
      <c r="C14" s="122" t="inlineStr">
        <is>
          <t>8 对</t>
        </is>
      </c>
      <c r="D14" s="130" t="inlineStr"/>
      <c r="E14" s="124" t="n">
        <v>0.6147</v>
      </c>
      <c r="F14" s="124" t="inlineStr"/>
      <c r="G14" s="124" t="n">
        <v>0.7576000000000001</v>
      </c>
      <c r="H14" s="125" t="n">
        <v>-0.1429</v>
      </c>
      <c r="I14" s="124" t="inlineStr"/>
      <c r="J14" s="126" t="inlineStr"/>
      <c r="K14" s="126" t="inlineStr"/>
      <c r="L14" s="127" t="inlineStr"/>
      <c r="M14" s="128" t="inlineStr"/>
      <c r="N14" s="126" t="inlineStr"/>
      <c r="O14" s="126" t="inlineStr"/>
    </row>
    <row r="15">
      <c r="A15" s="96" t="inlineStr">
        <is>
          <t>DLPFC</t>
        </is>
      </c>
      <c r="B15" s="96" t="inlineStr">
        <is>
          <t>Donor2</t>
        </is>
      </c>
      <c r="C15" s="96" t="inlineStr">
        <is>
          <t>151507</t>
        </is>
      </c>
      <c r="D15" s="108" t="n">
        <v>10</v>
      </c>
      <c r="E15" s="109" t="n">
        <v>0.5733</v>
      </c>
      <c r="F15" s="109" t="n">
        <v>0.0212</v>
      </c>
      <c r="G15" s="109" t="n">
        <v>0.653</v>
      </c>
      <c r="H15" s="110" t="n">
        <v>-0.07969999999999999</v>
      </c>
      <c r="I15" s="109" t="n">
        <v>0.0256</v>
      </c>
      <c r="J15" s="106" t="inlineStr">
        <is>
          <t>[-0.0945, -0.0648]</t>
        </is>
      </c>
      <c r="K15" s="106" t="inlineStr">
        <is>
          <t>[-0.0980, -0.0613]</t>
        </is>
      </c>
      <c r="L15" s="111" t="n">
        <v>-9.833399999999999</v>
      </c>
      <c r="M15" s="112" t="n">
        <v>4e-06</v>
      </c>
      <c r="N15" s="106" t="inlineStr">
        <is>
          <t>***</t>
        </is>
      </c>
      <c r="O15" s="113" t="inlineStr">
        <is>
          <t>UI (P)</t>
        </is>
      </c>
    </row>
    <row r="16">
      <c r="A16" s="99" t="inlineStr">
        <is>
          <t>DLPFC</t>
        </is>
      </c>
      <c r="B16" s="99" t="inlineStr">
        <is>
          <t>Donor2</t>
        </is>
      </c>
      <c r="C16" s="99" t="inlineStr">
        <is>
          <t>151508</t>
        </is>
      </c>
      <c r="D16" s="114" t="n">
        <v>10</v>
      </c>
      <c r="E16" s="115" t="n">
        <v>0.5891999999999999</v>
      </c>
      <c r="F16" s="115" t="n">
        <v>0.0319</v>
      </c>
      <c r="G16" s="115" t="n">
        <v>0.662</v>
      </c>
      <c r="H16" s="116" t="n">
        <v>-0.0728</v>
      </c>
      <c r="I16" s="115" t="n">
        <v>0.0298</v>
      </c>
      <c r="J16" s="107" t="inlineStr">
        <is>
          <t>[-0.0901, -0.0555]</t>
        </is>
      </c>
      <c r="K16" s="107" t="inlineStr">
        <is>
          <t>[-0.0941, -0.0514]</t>
        </is>
      </c>
      <c r="L16" s="117" t="n">
        <v>-7.717</v>
      </c>
      <c r="M16" s="118" t="n">
        <v>2.9e-05</v>
      </c>
      <c r="N16" s="107" t="inlineStr">
        <is>
          <t>***</t>
        </is>
      </c>
      <c r="O16" s="119" t="inlineStr">
        <is>
          <t>UI (P)</t>
        </is>
      </c>
    </row>
    <row r="17">
      <c r="A17" s="96" t="inlineStr">
        <is>
          <t>DLPFC</t>
        </is>
      </c>
      <c r="B17" s="96" t="inlineStr">
        <is>
          <t>Donor2</t>
        </is>
      </c>
      <c r="C17" s="96" t="inlineStr">
        <is>
          <t>151509</t>
        </is>
      </c>
      <c r="D17" s="108" t="n">
        <v>10</v>
      </c>
      <c r="E17" s="109" t="n">
        <v>0.5417</v>
      </c>
      <c r="F17" s="109" t="n">
        <v>0.0613</v>
      </c>
      <c r="G17" s="109" t="n">
        <v>0.767</v>
      </c>
      <c r="H17" s="110" t="n">
        <v>-0.2253</v>
      </c>
      <c r="I17" s="109" t="n">
        <v>0.0638</v>
      </c>
      <c r="J17" s="106" t="inlineStr">
        <is>
          <t>[-0.2622, -0.1883]</t>
        </is>
      </c>
      <c r="K17" s="106" t="inlineStr">
        <is>
          <t>[-0.2709, -0.1796]</t>
        </is>
      </c>
      <c r="L17" s="111" t="n">
        <v>-11.1656</v>
      </c>
      <c r="M17" s="112" t="n">
        <v>1e-06</v>
      </c>
      <c r="N17" s="106" t="inlineStr">
        <is>
          <t>***</t>
        </is>
      </c>
      <c r="O17" s="113" t="inlineStr">
        <is>
          <t>UI (P)</t>
        </is>
      </c>
    </row>
    <row r="18">
      <c r="A18" s="99" t="inlineStr">
        <is>
          <t>DLPFC</t>
        </is>
      </c>
      <c r="B18" s="99" t="inlineStr">
        <is>
          <t>Donor2</t>
        </is>
      </c>
      <c r="C18" s="99" t="inlineStr">
        <is>
          <t>151510</t>
        </is>
      </c>
      <c r="D18" s="114" t="n">
        <v>10</v>
      </c>
      <c r="E18" s="115" t="n">
        <v>0.4353</v>
      </c>
      <c r="F18" s="115" t="n">
        <v>0.07779999999999999</v>
      </c>
      <c r="G18" s="115" t="n">
        <v>0.696</v>
      </c>
      <c r="H18" s="116" t="n">
        <v>-0.2607</v>
      </c>
      <c r="I18" s="115" t="n">
        <v>0.0793</v>
      </c>
      <c r="J18" s="107" t="inlineStr">
        <is>
          <t>[-0.3066, -0.2147]</t>
        </is>
      </c>
      <c r="K18" s="107" t="inlineStr">
        <is>
          <t>[-0.3174, -0.2040]</t>
        </is>
      </c>
      <c r="L18" s="117" t="n">
        <v>-10.3996</v>
      </c>
      <c r="M18" s="118" t="n">
        <v>3e-06</v>
      </c>
      <c r="N18" s="107" t="inlineStr">
        <is>
          <t>***</t>
        </is>
      </c>
      <c r="O18" s="119" t="inlineStr">
        <is>
          <t>UI (P)</t>
        </is>
      </c>
    </row>
    <row r="19">
      <c r="A19" s="96" t="inlineStr">
        <is>
          <t>DLPFC</t>
        </is>
      </c>
      <c r="B19" s="96" t="inlineStr">
        <is>
          <t>Donor2</t>
        </is>
      </c>
      <c r="C19" s="96" t="inlineStr">
        <is>
          <t>151673</t>
        </is>
      </c>
      <c r="D19" s="108" t="n">
        <v>10</v>
      </c>
      <c r="E19" s="109" t="n">
        <v>0.6377</v>
      </c>
      <c r="F19" s="109" t="n">
        <v>0.0326</v>
      </c>
      <c r="G19" s="109" t="n">
        <v>0.678</v>
      </c>
      <c r="H19" s="110" t="n">
        <v>-0.0402</v>
      </c>
      <c r="I19" s="109" t="n">
        <v>0.0417</v>
      </c>
      <c r="J19" s="106" t="inlineStr">
        <is>
          <t>[-0.0644, -0.0161]</t>
        </is>
      </c>
      <c r="K19" s="106" t="inlineStr">
        <is>
          <t>[-0.0701, -0.0104]</t>
        </is>
      </c>
      <c r="L19" s="111" t="n">
        <v>-3.0509</v>
      </c>
      <c r="M19" s="112" t="n">
        <v>0.013772</v>
      </c>
      <c r="N19" s="106" t="inlineStr">
        <is>
          <t>*</t>
        </is>
      </c>
      <c r="O19" s="113" t="inlineStr">
        <is>
          <t>UI (Toward ET)</t>
        </is>
      </c>
    </row>
    <row r="20">
      <c r="A20" s="99" t="inlineStr">
        <is>
          <t>DLPFC</t>
        </is>
      </c>
      <c r="B20" s="99" t="inlineStr">
        <is>
          <t>Donor2</t>
        </is>
      </c>
      <c r="C20" s="99" t="inlineStr">
        <is>
          <t>151674</t>
        </is>
      </c>
      <c r="D20" s="114" t="n">
        <v>10</v>
      </c>
      <c r="E20" s="115" t="n">
        <v>0.5905</v>
      </c>
      <c r="F20" s="115" t="n">
        <v>0.0345</v>
      </c>
      <c r="G20" s="115" t="n">
        <v>0.673</v>
      </c>
      <c r="H20" s="116" t="n">
        <v>-0.0824</v>
      </c>
      <c r="I20" s="115" t="n">
        <v>0.0571</v>
      </c>
      <c r="J20" s="107" t="inlineStr">
        <is>
          <t>[-0.1155, -0.0494]</t>
        </is>
      </c>
      <c r="K20" s="107" t="inlineStr">
        <is>
          <t>[-0.1233, -0.0416]</t>
        </is>
      </c>
      <c r="L20" s="117" t="n">
        <v>-4.5695</v>
      </c>
      <c r="M20" s="118" t="n">
        <v>0.001348</v>
      </c>
      <c r="N20" s="107" t="inlineStr">
        <is>
          <t>**</t>
        </is>
      </c>
      <c r="O20" s="119" t="inlineStr">
        <is>
          <t>UI (P)</t>
        </is>
      </c>
    </row>
    <row r="21">
      <c r="A21" s="96" t="inlineStr">
        <is>
          <t>DLPFC</t>
        </is>
      </c>
      <c r="B21" s="96" t="inlineStr">
        <is>
          <t>Donor2</t>
        </is>
      </c>
      <c r="C21" s="96" t="inlineStr">
        <is>
          <t>151675</t>
        </is>
      </c>
      <c r="D21" s="108" t="n">
        <v>10</v>
      </c>
      <c r="E21" s="109" t="n">
        <v>0.5844</v>
      </c>
      <c r="F21" s="109" t="n">
        <v>0.02</v>
      </c>
      <c r="G21" s="109" t="n">
        <v>0.723</v>
      </c>
      <c r="H21" s="110" t="n">
        <v>-0.1386</v>
      </c>
      <c r="I21" s="109" t="n">
        <v>0.0191</v>
      </c>
      <c r="J21" s="106" t="inlineStr">
        <is>
          <t>[-0.1497, -0.1276]</t>
        </is>
      </c>
      <c r="K21" s="106" t="inlineStr">
        <is>
          <t>[-0.1523, -0.1250]</t>
        </is>
      </c>
      <c r="L21" s="111" t="n">
        <v>-22.9187</v>
      </c>
      <c r="M21" s="112" t="inlineStr">
        <is>
          <t>&lt;0.000001</t>
        </is>
      </c>
      <c r="N21" s="106" t="inlineStr">
        <is>
          <t>***</t>
        </is>
      </c>
      <c r="O21" s="113" t="inlineStr">
        <is>
          <t>UI (P)</t>
        </is>
      </c>
    </row>
    <row r="22">
      <c r="A22" s="99" t="inlineStr">
        <is>
          <t>DLPFC</t>
        </is>
      </c>
      <c r="B22" s="99" t="inlineStr">
        <is>
          <t>Donor2</t>
        </is>
      </c>
      <c r="C22" s="99" t="inlineStr">
        <is>
          <t>151676</t>
        </is>
      </c>
      <c r="D22" s="114" t="n">
        <v>10</v>
      </c>
      <c r="E22" s="115" t="n">
        <v>0.5619</v>
      </c>
      <c r="F22" s="115" t="n">
        <v>0.0494</v>
      </c>
      <c r="G22" s="115" t="n">
        <v>0.6909999999999999</v>
      </c>
      <c r="H22" s="116" t="n">
        <v>-0.1291</v>
      </c>
      <c r="I22" s="115" t="n">
        <v>0.056</v>
      </c>
      <c r="J22" s="107" t="inlineStr">
        <is>
          <t>[-0.1616, -0.0966]</t>
        </is>
      </c>
      <c r="K22" s="107" t="inlineStr">
        <is>
          <t>[-0.1692, -0.0890]</t>
        </is>
      </c>
      <c r="L22" s="117" t="n">
        <v>-7.2871</v>
      </c>
      <c r="M22" s="118" t="n">
        <v>4.6e-05</v>
      </c>
      <c r="N22" s="107" t="inlineStr">
        <is>
          <t>***</t>
        </is>
      </c>
      <c r="O22" s="119" t="inlineStr">
        <is>
          <t>UI (P)</t>
        </is>
      </c>
    </row>
    <row r="23">
      <c r="A23" s="122" t="inlineStr"/>
      <c r="B23" s="122" t="inlineStr">
        <is>
          <t>Donor2 均值</t>
        </is>
      </c>
      <c r="C23" s="122" t="inlineStr">
        <is>
          <t>8 对</t>
        </is>
      </c>
      <c r="D23" s="130" t="inlineStr"/>
      <c r="E23" s="124" t="n">
        <v>0.5642</v>
      </c>
      <c r="F23" s="124" t="inlineStr"/>
      <c r="G23" s="124" t="n">
        <v>0.6929</v>
      </c>
      <c r="H23" s="125" t="n">
        <v>-0.1286</v>
      </c>
      <c r="I23" s="124" t="inlineStr"/>
      <c r="J23" s="126" t="inlineStr"/>
      <c r="K23" s="126" t="inlineStr"/>
      <c r="L23" s="127" t="inlineStr"/>
      <c r="M23" s="128" t="inlineStr"/>
      <c r="N23" s="126" t="inlineStr"/>
      <c r="O23" s="126" t="inlineStr"/>
    </row>
    <row r="24">
      <c r="A24" s="96" t="inlineStr">
        <is>
          <t>DLPFC</t>
        </is>
      </c>
      <c r="B24" s="96" t="inlineStr">
        <is>
          <t>Donor3</t>
        </is>
      </c>
      <c r="C24" s="96" t="inlineStr">
        <is>
          <t>151507</t>
        </is>
      </c>
      <c r="D24" s="108" t="n">
        <v>10</v>
      </c>
      <c r="E24" s="109" t="n">
        <v>0.4102</v>
      </c>
      <c r="F24" s="109" t="n">
        <v>0.0376</v>
      </c>
      <c r="G24" s="109" t="n">
        <v>0.653</v>
      </c>
      <c r="H24" s="110" t="n">
        <v>-0.2428</v>
      </c>
      <c r="I24" s="109" t="n">
        <v>0.0555</v>
      </c>
      <c r="J24" s="106" t="inlineStr">
        <is>
          <t>[-0.2750, -0.2106]</t>
        </is>
      </c>
      <c r="K24" s="106" t="inlineStr">
        <is>
          <t>[-0.2825, -0.2031]</t>
        </is>
      </c>
      <c r="L24" s="111" t="n">
        <v>-13.8218</v>
      </c>
      <c r="M24" s="112" t="inlineStr">
        <is>
          <t>&lt;0.000001</t>
        </is>
      </c>
      <c r="N24" s="106" t="inlineStr">
        <is>
          <t>***</t>
        </is>
      </c>
      <c r="O24" s="113" t="inlineStr">
        <is>
          <t>UI (P)</t>
        </is>
      </c>
    </row>
    <row r="25">
      <c r="A25" s="99" t="inlineStr">
        <is>
          <t>DLPFC</t>
        </is>
      </c>
      <c r="B25" s="99" t="inlineStr">
        <is>
          <t>Donor3</t>
        </is>
      </c>
      <c r="C25" s="99" t="inlineStr">
        <is>
          <t>151508</t>
        </is>
      </c>
      <c r="D25" s="114" t="n">
        <v>10</v>
      </c>
      <c r="E25" s="115" t="n">
        <v>0.4376</v>
      </c>
      <c r="F25" s="115" t="n">
        <v>0.052</v>
      </c>
      <c r="G25" s="115" t="n">
        <v>0.662</v>
      </c>
      <c r="H25" s="116" t="n">
        <v>-0.2244</v>
      </c>
      <c r="I25" s="115" t="n">
        <v>0.056</v>
      </c>
      <c r="J25" s="107" t="inlineStr">
        <is>
          <t>[-0.2569, -0.1919]</t>
        </is>
      </c>
      <c r="K25" s="107" t="inlineStr">
        <is>
          <t>[-0.2645, -0.1843]</t>
        </is>
      </c>
      <c r="L25" s="117" t="n">
        <v>-12.6613</v>
      </c>
      <c r="M25" s="118" t="inlineStr">
        <is>
          <t>&lt;0.000001</t>
        </is>
      </c>
      <c r="N25" s="107" t="inlineStr">
        <is>
          <t>***</t>
        </is>
      </c>
      <c r="O25" s="119" t="inlineStr">
        <is>
          <t>UI (P)</t>
        </is>
      </c>
    </row>
    <row r="26">
      <c r="A26" s="96" t="inlineStr">
        <is>
          <t>DLPFC</t>
        </is>
      </c>
      <c r="B26" s="96" t="inlineStr">
        <is>
          <t>Donor3</t>
        </is>
      </c>
      <c r="C26" s="96" t="inlineStr">
        <is>
          <t>151509</t>
        </is>
      </c>
      <c r="D26" s="108" t="n">
        <v>10</v>
      </c>
      <c r="E26" s="109" t="n">
        <v>0.4168</v>
      </c>
      <c r="F26" s="109" t="n">
        <v>0.0443</v>
      </c>
      <c r="G26" s="109" t="n">
        <v>0.767</v>
      </c>
      <c r="H26" s="110" t="n">
        <v>-0.3502</v>
      </c>
      <c r="I26" s="109" t="n">
        <v>0.0485</v>
      </c>
      <c r="J26" s="106" t="inlineStr">
        <is>
          <t>[-0.3783, -0.3221]</t>
        </is>
      </c>
      <c r="K26" s="106" t="inlineStr">
        <is>
          <t>[-0.3849, -0.3155]</t>
        </is>
      </c>
      <c r="L26" s="111" t="n">
        <v>-22.8455</v>
      </c>
      <c r="M26" s="112" t="inlineStr">
        <is>
          <t>&lt;0.000001</t>
        </is>
      </c>
      <c r="N26" s="106" t="inlineStr">
        <is>
          <t>***</t>
        </is>
      </c>
      <c r="O26" s="113" t="inlineStr">
        <is>
          <t>UI (P)</t>
        </is>
      </c>
    </row>
    <row r="27">
      <c r="A27" s="99" t="inlineStr">
        <is>
          <t>DLPFC</t>
        </is>
      </c>
      <c r="B27" s="99" t="inlineStr">
        <is>
          <t>Donor3</t>
        </is>
      </c>
      <c r="C27" s="99" t="inlineStr">
        <is>
          <t>151510</t>
        </is>
      </c>
      <c r="D27" s="114" t="n">
        <v>10</v>
      </c>
      <c r="E27" s="115" t="n">
        <v>0.358</v>
      </c>
      <c r="F27" s="115" t="n">
        <v>0.06560000000000001</v>
      </c>
      <c r="G27" s="115" t="n">
        <v>0.696</v>
      </c>
      <c r="H27" s="116" t="n">
        <v>-0.338</v>
      </c>
      <c r="I27" s="115" t="n">
        <v>0.0664</v>
      </c>
      <c r="J27" s="107" t="inlineStr">
        <is>
          <t>[-0.3765, -0.2996]</t>
        </is>
      </c>
      <c r="K27" s="107" t="inlineStr">
        <is>
          <t>[-0.3855, -0.2906]</t>
        </is>
      </c>
      <c r="L27" s="117" t="n">
        <v>-16.1075</v>
      </c>
      <c r="M27" s="118" t="inlineStr">
        <is>
          <t>&lt;0.000001</t>
        </is>
      </c>
      <c r="N27" s="107" t="inlineStr">
        <is>
          <t>***</t>
        </is>
      </c>
      <c r="O27" s="119" t="inlineStr">
        <is>
          <t>UI (P)</t>
        </is>
      </c>
    </row>
    <row r="28">
      <c r="A28" s="96" t="inlineStr">
        <is>
          <t>DLPFC</t>
        </is>
      </c>
      <c r="B28" s="96" t="inlineStr">
        <is>
          <t>Donor3</t>
        </is>
      </c>
      <c r="C28" s="96" t="inlineStr">
        <is>
          <t>151669</t>
        </is>
      </c>
      <c r="D28" s="108" t="n">
        <v>10</v>
      </c>
      <c r="E28" s="109" t="n">
        <v>0.5316</v>
      </c>
      <c r="F28" s="109" t="n">
        <v>0.0486</v>
      </c>
      <c r="G28" s="109" t="n">
        <v>0.883</v>
      </c>
      <c r="H28" s="110" t="n">
        <v>-0.3514</v>
      </c>
      <c r="I28" s="109" t="n">
        <v>0.0547</v>
      </c>
      <c r="J28" s="106" t="inlineStr">
        <is>
          <t>[-0.3831, -0.3197]</t>
        </is>
      </c>
      <c r="K28" s="106" t="inlineStr">
        <is>
          <t>[-0.3905, -0.3122]</t>
        </is>
      </c>
      <c r="L28" s="111" t="n">
        <v>-20.3178</v>
      </c>
      <c r="M28" s="112" t="inlineStr">
        <is>
          <t>&lt;0.000001</t>
        </is>
      </c>
      <c r="N28" s="106" t="inlineStr">
        <is>
          <t>***</t>
        </is>
      </c>
      <c r="O28" s="113" t="inlineStr">
        <is>
          <t>UI (P)</t>
        </is>
      </c>
    </row>
    <row r="29">
      <c r="A29" s="99" t="inlineStr">
        <is>
          <t>DLPFC</t>
        </is>
      </c>
      <c r="B29" s="99" t="inlineStr">
        <is>
          <t>Donor3</t>
        </is>
      </c>
      <c r="C29" s="99" t="inlineStr">
        <is>
          <t>151670</t>
        </is>
      </c>
      <c r="D29" s="114" t="n">
        <v>10</v>
      </c>
      <c r="E29" s="115" t="n">
        <v>0.5087</v>
      </c>
      <c r="F29" s="115" t="n">
        <v>0.0504</v>
      </c>
      <c r="G29" s="115" t="n">
        <v>0.825</v>
      </c>
      <c r="H29" s="116" t="n">
        <v>-0.3164</v>
      </c>
      <c r="I29" s="115" t="n">
        <v>0.049</v>
      </c>
      <c r="J29" s="107" t="inlineStr">
        <is>
          <t>[-0.3447, -0.2880]</t>
        </is>
      </c>
      <c r="K29" s="107" t="inlineStr">
        <is>
          <t>[-0.3514, -0.2813]</t>
        </is>
      </c>
      <c r="L29" s="117" t="n">
        <v>-20.4353</v>
      </c>
      <c r="M29" s="118" t="inlineStr">
        <is>
          <t>&lt;0.000001</t>
        </is>
      </c>
      <c r="N29" s="107" t="inlineStr">
        <is>
          <t>***</t>
        </is>
      </c>
      <c r="O29" s="119" t="inlineStr">
        <is>
          <t>UI (P)</t>
        </is>
      </c>
    </row>
    <row r="30">
      <c r="A30" s="96" t="inlineStr">
        <is>
          <t>DLPFC</t>
        </is>
      </c>
      <c r="B30" s="96" t="inlineStr">
        <is>
          <t>Donor3</t>
        </is>
      </c>
      <c r="C30" s="96" t="inlineStr">
        <is>
          <t>151671</t>
        </is>
      </c>
      <c r="D30" s="108" t="n">
        <v>10</v>
      </c>
      <c r="E30" s="109" t="n">
        <v>0.6284999999999999</v>
      </c>
      <c r="F30" s="109" t="n">
        <v>0.0507</v>
      </c>
      <c r="G30" s="109" t="n">
        <v>0.836</v>
      </c>
      <c r="H30" s="110" t="n">
        <v>-0.2075</v>
      </c>
      <c r="I30" s="109" t="n">
        <v>0.0593</v>
      </c>
      <c r="J30" s="106" t="inlineStr">
        <is>
          <t>[-0.2419, -0.1732]</t>
        </is>
      </c>
      <c r="K30" s="106" t="inlineStr">
        <is>
          <t>[-0.2500, -0.1651]</t>
        </is>
      </c>
      <c r="L30" s="111" t="n">
        <v>-11.0622</v>
      </c>
      <c r="M30" s="112" t="n">
        <v>2e-06</v>
      </c>
      <c r="N30" s="106" t="inlineStr">
        <is>
          <t>***</t>
        </is>
      </c>
      <c r="O30" s="113" t="inlineStr">
        <is>
          <t>UI (P)</t>
        </is>
      </c>
    </row>
    <row r="31">
      <c r="A31" s="99" t="inlineStr">
        <is>
          <t>DLPFC</t>
        </is>
      </c>
      <c r="B31" s="99" t="inlineStr">
        <is>
          <t>Donor3</t>
        </is>
      </c>
      <c r="C31" s="99" t="inlineStr">
        <is>
          <t>151672</t>
        </is>
      </c>
      <c r="D31" s="114" t="n">
        <v>10</v>
      </c>
      <c r="E31" s="115" t="n">
        <v>0.6024</v>
      </c>
      <c r="F31" s="115" t="n">
        <v>0.0294</v>
      </c>
      <c r="G31" s="115" t="n">
        <v>0.752</v>
      </c>
      <c r="H31" s="116" t="n">
        <v>-0.1496</v>
      </c>
      <c r="I31" s="115" t="n">
        <v>0.0289</v>
      </c>
      <c r="J31" s="107" t="inlineStr">
        <is>
          <t>[-0.1663, -0.1329]</t>
        </is>
      </c>
      <c r="K31" s="107" t="inlineStr">
        <is>
          <t>[-0.1702, -0.1289]</t>
        </is>
      </c>
      <c r="L31" s="117" t="n">
        <v>-16.383</v>
      </c>
      <c r="M31" s="118" t="inlineStr">
        <is>
          <t>&lt;0.000001</t>
        </is>
      </c>
      <c r="N31" s="107" t="inlineStr">
        <is>
          <t>***</t>
        </is>
      </c>
      <c r="O31" s="119" t="inlineStr">
        <is>
          <t>UI (P)</t>
        </is>
      </c>
    </row>
    <row r="32">
      <c r="A32" s="122" t="inlineStr"/>
      <c r="B32" s="122" t="inlineStr">
        <is>
          <t>Donor3 均值</t>
        </is>
      </c>
      <c r="C32" s="122" t="inlineStr">
        <is>
          <t>8 对</t>
        </is>
      </c>
      <c r="D32" s="130" t="inlineStr"/>
      <c r="E32" s="124" t="n">
        <v>0.4867</v>
      </c>
      <c r="F32" s="124" t="inlineStr"/>
      <c r="G32" s="124" t="n">
        <v>0.7592</v>
      </c>
      <c r="H32" s="125" t="n">
        <v>-0.2725</v>
      </c>
      <c r="I32" s="124" t="inlineStr"/>
      <c r="J32" s="126" t="inlineStr"/>
      <c r="K32" s="126" t="inlineStr"/>
      <c r="L32" s="127" t="inlineStr"/>
      <c r="M32" s="128" t="inlineStr"/>
      <c r="N32" s="126" t="inlineStr"/>
      <c r="O32" s="126" t="inlineStr"/>
    </row>
    <row r="33">
      <c r="A33" s="122" t="inlineStr">
        <is>
          <t>小计 / 均值</t>
        </is>
      </c>
      <c r="B33" s="122" t="inlineStr">
        <is>
          <t>DLPFC 全部</t>
        </is>
      </c>
      <c r="C33" s="122" t="inlineStr">
        <is>
          <t>24 对</t>
        </is>
      </c>
      <c r="D33" s="130" t="inlineStr"/>
      <c r="E33" s="124" t="n">
        <v>0.5552</v>
      </c>
      <c r="F33" s="124" t="inlineStr"/>
      <c r="G33" s="124" t="n">
        <v>0.7366</v>
      </c>
      <c r="H33" s="125" t="n">
        <v>-0.1813</v>
      </c>
      <c r="I33" s="124" t="inlineStr"/>
      <c r="J33" s="126" t="inlineStr">
        <is>
          <t>Δ 范围 -0.3514 ~ -0.0402</t>
        </is>
      </c>
      <c r="K33" s="126" t="inlineStr"/>
      <c r="L33" s="127" t="inlineStr"/>
      <c r="M33" s="128" t="inlineStr"/>
      <c r="N33" s="126" t="inlineStr"/>
      <c r="O33" s="126" t="inlineStr"/>
    </row>
    <row r="35" ht="20" customHeight="1" s="77">
      <c r="A35" s="92" t="inlineStr">
        <is>
          <t xml:space="preserve">  MERFISH_frontal_cortex（Subject4/6/8，每 subject 3 片） — 18 对</t>
        </is>
      </c>
    </row>
    <row r="36">
      <c r="A36" s="96" t="inlineStr">
        <is>
          <t>MERFISH_frontal_cortex</t>
        </is>
      </c>
      <c r="B36" s="96" t="inlineStr">
        <is>
          <t>Subject4</t>
        </is>
      </c>
      <c r="C36" s="96" t="inlineStr">
        <is>
          <t>6_0</t>
        </is>
      </c>
      <c r="D36" s="108" t="n">
        <v>10</v>
      </c>
      <c r="E36" s="109" t="n">
        <v>0.4013</v>
      </c>
      <c r="F36" s="109" t="n">
        <v>0.0741</v>
      </c>
      <c r="G36" s="109" t="n">
        <v>0.738</v>
      </c>
      <c r="H36" s="110" t="n">
        <v>-0.3367</v>
      </c>
      <c r="I36" s="109" t="n">
        <v>0.0687</v>
      </c>
      <c r="J36" s="106" t="inlineStr">
        <is>
          <t>[-0.3765, -0.2969]</t>
        </is>
      </c>
      <c r="K36" s="106" t="inlineStr">
        <is>
          <t>[-0.3858, -0.2875]</t>
        </is>
      </c>
      <c r="L36" s="111" t="n">
        <v>-15.497</v>
      </c>
      <c r="M36" s="112" t="inlineStr">
        <is>
          <t>&lt;0.000001</t>
        </is>
      </c>
      <c r="N36" s="106" t="inlineStr">
        <is>
          <t>***</t>
        </is>
      </c>
      <c r="O36" s="113" t="inlineStr">
        <is>
          <t>UI (P)</t>
        </is>
      </c>
    </row>
    <row r="37">
      <c r="A37" s="99" t="inlineStr">
        <is>
          <t>MERFISH_frontal_cortex</t>
        </is>
      </c>
      <c r="B37" s="99" t="inlineStr">
        <is>
          <t>Subject4</t>
        </is>
      </c>
      <c r="C37" s="99" t="inlineStr">
        <is>
          <t>6_1</t>
        </is>
      </c>
      <c r="D37" s="114" t="n">
        <v>10</v>
      </c>
      <c r="E37" s="115" t="n">
        <v>0.6825</v>
      </c>
      <c r="F37" s="115" t="n">
        <v>0.0132</v>
      </c>
      <c r="G37" s="115" t="n">
        <v>0.839</v>
      </c>
      <c r="H37" s="116" t="n">
        <v>-0.1566</v>
      </c>
      <c r="I37" s="115" t="n">
        <v>0.0287</v>
      </c>
      <c r="J37" s="107" t="inlineStr">
        <is>
          <t>[-0.1732, -0.1399]</t>
        </is>
      </c>
      <c r="K37" s="107" t="inlineStr">
        <is>
          <t>[-0.1771, -0.1360]</t>
        </is>
      </c>
      <c r="L37" s="117" t="n">
        <v>-17.258</v>
      </c>
      <c r="M37" s="118" t="inlineStr">
        <is>
          <t>&lt;0.000001</t>
        </is>
      </c>
      <c r="N37" s="107" t="inlineStr">
        <is>
          <t>***</t>
        </is>
      </c>
      <c r="O37" s="119" t="inlineStr">
        <is>
          <t>UI (P)</t>
        </is>
      </c>
    </row>
    <row r="38">
      <c r="A38" s="96" t="inlineStr">
        <is>
          <t>MERFISH_frontal_cortex</t>
        </is>
      </c>
      <c r="B38" s="96" t="inlineStr">
        <is>
          <t>Subject4</t>
        </is>
      </c>
      <c r="C38" s="96" t="inlineStr">
        <is>
          <t>6_2</t>
        </is>
      </c>
      <c r="D38" s="108" t="n">
        <v>10</v>
      </c>
      <c r="E38" s="109" t="n">
        <v>0.5017</v>
      </c>
      <c r="F38" s="109" t="n">
        <v>0.0566</v>
      </c>
      <c r="G38" s="109" t="n">
        <v>0.757</v>
      </c>
      <c r="H38" s="110" t="n">
        <v>-0.2553</v>
      </c>
      <c r="I38" s="109" t="n">
        <v>0.0609</v>
      </c>
      <c r="J38" s="106" t="inlineStr">
        <is>
          <t>[-0.2907, -0.2200]</t>
        </is>
      </c>
      <c r="K38" s="106" t="inlineStr">
        <is>
          <t>[-0.2989, -0.2117]</t>
        </is>
      </c>
      <c r="L38" s="111" t="n">
        <v>-13.2507</v>
      </c>
      <c r="M38" s="112" t="inlineStr">
        <is>
          <t>&lt;0.000001</t>
        </is>
      </c>
      <c r="N38" s="106" t="inlineStr">
        <is>
          <t>***</t>
        </is>
      </c>
      <c r="O38" s="113" t="inlineStr">
        <is>
          <t>UI (P)</t>
        </is>
      </c>
    </row>
    <row r="39">
      <c r="A39" s="99" t="inlineStr">
        <is>
          <t>MERFISH_frontal_cortex</t>
        </is>
      </c>
      <c r="B39" s="99" t="inlineStr">
        <is>
          <t>Subject4</t>
        </is>
      </c>
      <c r="C39" s="99" t="inlineStr">
        <is>
          <t>8_0</t>
        </is>
      </c>
      <c r="D39" s="114" t="n">
        <v>10</v>
      </c>
      <c r="E39" s="115" t="n">
        <v>0.673</v>
      </c>
      <c r="F39" s="115" t="n">
        <v>0.0993</v>
      </c>
      <c r="G39" s="115" t="n">
        <v>0.892</v>
      </c>
      <c r="H39" s="116" t="n">
        <v>-0.219</v>
      </c>
      <c r="I39" s="115" t="n">
        <v>0.1059</v>
      </c>
      <c r="J39" s="107" t="inlineStr">
        <is>
          <t>[-0.2804, -0.1576]</t>
        </is>
      </c>
      <c r="K39" s="107" t="inlineStr">
        <is>
          <t>[-0.2947, -0.1432]</t>
        </is>
      </c>
      <c r="L39" s="117" t="n">
        <v>-6.5405</v>
      </c>
      <c r="M39" s="118" t="n">
        <v>0.000106</v>
      </c>
      <c r="N39" s="107" t="inlineStr">
        <is>
          <t>***</t>
        </is>
      </c>
      <c r="O39" s="119" t="inlineStr">
        <is>
          <t>UI (P)</t>
        </is>
      </c>
    </row>
    <row r="40">
      <c r="A40" s="96" t="inlineStr">
        <is>
          <t>MERFISH_frontal_cortex</t>
        </is>
      </c>
      <c r="B40" s="96" t="inlineStr">
        <is>
          <t>Subject4</t>
        </is>
      </c>
      <c r="C40" s="96" t="inlineStr">
        <is>
          <t>8_1</t>
        </is>
      </c>
      <c r="D40" s="108" t="n">
        <v>10</v>
      </c>
      <c r="E40" s="109" t="n">
        <v>0.6706</v>
      </c>
      <c r="F40" s="109" t="n">
        <v>0.0337</v>
      </c>
      <c r="G40" s="109" t="n">
        <v>0.721</v>
      </c>
      <c r="H40" s="110" t="n">
        <v>-0.0505</v>
      </c>
      <c r="I40" s="109" t="n">
        <v>0.0462</v>
      </c>
      <c r="J40" s="106" t="inlineStr">
        <is>
          <t>[-0.0772, -0.0237]</t>
        </is>
      </c>
      <c r="K40" s="106" t="inlineStr">
        <is>
          <t>[-0.0835, -0.0174]</t>
        </is>
      </c>
      <c r="L40" s="111" t="n">
        <v>-3.457</v>
      </c>
      <c r="M40" s="112" t="n">
        <v>0.007194</v>
      </c>
      <c r="N40" s="106" t="inlineStr">
        <is>
          <t>**</t>
        </is>
      </c>
      <c r="O40" s="113" t="inlineStr">
        <is>
          <t>UI (Toward ET)</t>
        </is>
      </c>
    </row>
    <row r="41">
      <c r="A41" s="99" t="inlineStr">
        <is>
          <t>MERFISH_frontal_cortex</t>
        </is>
      </c>
      <c r="B41" s="99" t="inlineStr">
        <is>
          <t>Subject4</t>
        </is>
      </c>
      <c r="C41" s="99" t="inlineStr">
        <is>
          <t>8_2</t>
        </is>
      </c>
      <c r="D41" s="114" t="n">
        <v>10</v>
      </c>
      <c r="E41" s="115" t="n">
        <v>0.6287</v>
      </c>
      <c r="F41" s="115" t="n">
        <v>0.048</v>
      </c>
      <c r="G41" s="115" t="n">
        <v>0.8129999999999999</v>
      </c>
      <c r="H41" s="116" t="n">
        <v>-0.1843</v>
      </c>
      <c r="I41" s="115" t="n">
        <v>0.0513</v>
      </c>
      <c r="J41" s="107" t="inlineStr">
        <is>
          <t>[-0.2140, -0.1545]</t>
        </is>
      </c>
      <c r="K41" s="107" t="inlineStr">
        <is>
          <t>[-0.2210, -0.1476]</t>
        </is>
      </c>
      <c r="L41" s="117" t="n">
        <v>-11.3606</v>
      </c>
      <c r="M41" s="118" t="n">
        <v>1e-06</v>
      </c>
      <c r="N41" s="107" t="inlineStr">
        <is>
          <t>***</t>
        </is>
      </c>
      <c r="O41" s="119" t="inlineStr">
        <is>
          <t>UI (P)</t>
        </is>
      </c>
    </row>
    <row r="42">
      <c r="A42" s="122" t="inlineStr"/>
      <c r="B42" s="122" t="inlineStr">
        <is>
          <t>Subject4 均值</t>
        </is>
      </c>
      <c r="C42" s="122" t="inlineStr">
        <is>
          <t>6 对</t>
        </is>
      </c>
      <c r="D42" s="130" t="inlineStr"/>
      <c r="E42" s="124" t="n">
        <v>0.593</v>
      </c>
      <c r="F42" s="124" t="inlineStr"/>
      <c r="G42" s="124" t="n">
        <v>0.7933</v>
      </c>
      <c r="H42" s="125" t="n">
        <v>-0.2004</v>
      </c>
      <c r="I42" s="124" t="inlineStr"/>
      <c r="J42" s="126" t="inlineStr"/>
      <c r="K42" s="126" t="inlineStr"/>
      <c r="L42" s="127" t="inlineStr"/>
      <c r="M42" s="128" t="inlineStr"/>
      <c r="N42" s="126" t="inlineStr"/>
      <c r="O42" s="126" t="inlineStr"/>
    </row>
    <row r="43">
      <c r="A43" s="96" t="inlineStr">
        <is>
          <t>MERFISH_frontal_cortex</t>
        </is>
      </c>
      <c r="B43" s="96" t="inlineStr">
        <is>
          <t>Subject6</t>
        </is>
      </c>
      <c r="C43" s="96" t="inlineStr">
        <is>
          <t>4_0</t>
        </is>
      </c>
      <c r="D43" s="108" t="n">
        <v>10</v>
      </c>
      <c r="E43" s="109" t="n">
        <v>0.5351</v>
      </c>
      <c r="F43" s="109" t="n">
        <v>0.0619</v>
      </c>
      <c r="G43" s="109" t="n">
        <v>0.771</v>
      </c>
      <c r="H43" s="110" t="n">
        <v>-0.2359</v>
      </c>
      <c r="I43" s="109" t="n">
        <v>0.0547</v>
      </c>
      <c r="J43" s="106" t="inlineStr">
        <is>
          <t>[-0.2676, -0.2042]</t>
        </is>
      </c>
      <c r="K43" s="106" t="inlineStr">
        <is>
          <t>[-0.2750, -0.1967]</t>
        </is>
      </c>
      <c r="L43" s="111" t="n">
        <v>-13.6292</v>
      </c>
      <c r="M43" s="112" t="inlineStr">
        <is>
          <t>&lt;0.000001</t>
        </is>
      </c>
      <c r="N43" s="106" t="inlineStr">
        <is>
          <t>***</t>
        </is>
      </c>
      <c r="O43" s="113" t="inlineStr">
        <is>
          <t>UI (P)</t>
        </is>
      </c>
    </row>
    <row r="44">
      <c r="A44" s="99" t="inlineStr">
        <is>
          <t>MERFISH_frontal_cortex</t>
        </is>
      </c>
      <c r="B44" s="99" t="inlineStr">
        <is>
          <t>Subject6</t>
        </is>
      </c>
      <c r="C44" s="99" t="inlineStr">
        <is>
          <t>4_1</t>
        </is>
      </c>
      <c r="D44" s="114" t="n">
        <v>10</v>
      </c>
      <c r="E44" s="115" t="n">
        <v>0.7014</v>
      </c>
      <c r="F44" s="115" t="n">
        <v>0.0519</v>
      </c>
      <c r="G44" s="115" t="n">
        <v>0.846</v>
      </c>
      <c r="H44" s="116" t="n">
        <v>-0.1446</v>
      </c>
      <c r="I44" s="115" t="n">
        <v>0.0504</v>
      </c>
      <c r="J44" s="107" t="inlineStr">
        <is>
          <t>[-0.1738, -0.1153]</t>
        </is>
      </c>
      <c r="K44" s="107" t="inlineStr">
        <is>
          <t>[-0.1806, -0.1085]</t>
        </is>
      </c>
      <c r="L44" s="117" t="n">
        <v>-9.063000000000001</v>
      </c>
      <c r="M44" s="118" t="n">
        <v>8e-06</v>
      </c>
      <c r="N44" s="107" t="inlineStr">
        <is>
          <t>***</t>
        </is>
      </c>
      <c r="O44" s="119" t="inlineStr">
        <is>
          <t>UI (P)</t>
        </is>
      </c>
    </row>
    <row r="45">
      <c r="A45" s="96" t="inlineStr">
        <is>
          <t>MERFISH_frontal_cortex</t>
        </is>
      </c>
      <c r="B45" s="96" t="inlineStr">
        <is>
          <t>Subject6</t>
        </is>
      </c>
      <c r="C45" s="96" t="inlineStr">
        <is>
          <t>4_2</t>
        </is>
      </c>
      <c r="D45" s="108" t="n">
        <v>10</v>
      </c>
      <c r="E45" s="109" t="n">
        <v>0.6788</v>
      </c>
      <c r="F45" s="109" t="n">
        <v>0.0317</v>
      </c>
      <c r="G45" s="109" t="n">
        <v>0.771</v>
      </c>
      <c r="H45" s="110" t="n">
        <v>-0.0922</v>
      </c>
      <c r="I45" s="109" t="n">
        <v>0.0481</v>
      </c>
      <c r="J45" s="106" t="inlineStr">
        <is>
          <t>[-0.1200, -0.0643]</t>
        </is>
      </c>
      <c r="K45" s="106" t="inlineStr">
        <is>
          <t>[-0.1266, -0.0578]</t>
        </is>
      </c>
      <c r="L45" s="111" t="n">
        <v>-6.0621</v>
      </c>
      <c r="M45" s="112" t="n">
        <v>0.000188</v>
      </c>
      <c r="N45" s="106" t="inlineStr">
        <is>
          <t>***</t>
        </is>
      </c>
      <c r="O45" s="113" t="inlineStr">
        <is>
          <t>UI (P)</t>
        </is>
      </c>
    </row>
    <row r="46">
      <c r="A46" s="99" t="inlineStr">
        <is>
          <t>MERFISH_frontal_cortex</t>
        </is>
      </c>
      <c r="B46" s="99" t="inlineStr">
        <is>
          <t>Subject6</t>
        </is>
      </c>
      <c r="C46" s="99" t="inlineStr">
        <is>
          <t>8_0</t>
        </is>
      </c>
      <c r="D46" s="114" t="n">
        <v>10</v>
      </c>
      <c r="E46" s="115" t="n">
        <v>0.7222</v>
      </c>
      <c r="F46" s="115" t="n">
        <v>0.08450000000000001</v>
      </c>
      <c r="G46" s="115" t="n">
        <v>0.892</v>
      </c>
      <c r="H46" s="116" t="n">
        <v>-0.1699</v>
      </c>
      <c r="I46" s="115" t="n">
        <v>0.0911</v>
      </c>
      <c r="J46" s="107" t="inlineStr">
        <is>
          <t>[-0.2227, -0.1170]</t>
        </is>
      </c>
      <c r="K46" s="107" t="inlineStr">
        <is>
          <t>[-0.2351, -0.1047]</t>
        </is>
      </c>
      <c r="L46" s="117" t="n">
        <v>-5.893</v>
      </c>
      <c r="M46" s="118" t="n">
        <v>0.000231</v>
      </c>
      <c r="N46" s="107" t="inlineStr">
        <is>
          <t>***</t>
        </is>
      </c>
      <c r="O46" s="119" t="inlineStr">
        <is>
          <t>UI (P)</t>
        </is>
      </c>
    </row>
    <row r="47">
      <c r="A47" s="96" t="inlineStr">
        <is>
          <t>MERFISH_frontal_cortex</t>
        </is>
      </c>
      <c r="B47" s="96" t="inlineStr">
        <is>
          <t>Subject6</t>
        </is>
      </c>
      <c r="C47" s="96" t="inlineStr">
        <is>
          <t>8_1</t>
        </is>
      </c>
      <c r="D47" s="108" t="n">
        <v>10</v>
      </c>
      <c r="E47" s="109" t="n">
        <v>0.5836</v>
      </c>
      <c r="F47" s="109" t="n">
        <v>0.0519</v>
      </c>
      <c r="G47" s="109" t="n">
        <v>0.721</v>
      </c>
      <c r="H47" s="110" t="n">
        <v>-0.1375</v>
      </c>
      <c r="I47" s="109" t="n">
        <v>0.0896</v>
      </c>
      <c r="J47" s="106" t="inlineStr">
        <is>
          <t>[-0.1894, -0.0855]</t>
        </is>
      </c>
      <c r="K47" s="106" t="inlineStr">
        <is>
          <t>[-0.2015, -0.0734]</t>
        </is>
      </c>
      <c r="L47" s="111" t="n">
        <v>-4.8524</v>
      </c>
      <c r="M47" s="112" t="n">
        <v>0.000905</v>
      </c>
      <c r="N47" s="106" t="inlineStr">
        <is>
          <t>***</t>
        </is>
      </c>
      <c r="O47" s="113" t="inlineStr">
        <is>
          <t>UI (P)</t>
        </is>
      </c>
    </row>
    <row r="48">
      <c r="A48" s="99" t="inlineStr">
        <is>
          <t>MERFISH_frontal_cortex</t>
        </is>
      </c>
      <c r="B48" s="99" t="inlineStr">
        <is>
          <t>Subject6</t>
        </is>
      </c>
      <c r="C48" s="99" t="inlineStr">
        <is>
          <t>8_2</t>
        </is>
      </c>
      <c r="D48" s="114" t="n">
        <v>10</v>
      </c>
      <c r="E48" s="115" t="n">
        <v>0.4651</v>
      </c>
      <c r="F48" s="115" t="n">
        <v>0.0793</v>
      </c>
      <c r="G48" s="115" t="n">
        <v>0.8129999999999999</v>
      </c>
      <c r="H48" s="116" t="n">
        <v>-0.3478</v>
      </c>
      <c r="I48" s="115" t="n">
        <v>0.07489999999999999</v>
      </c>
      <c r="J48" s="107" t="inlineStr">
        <is>
          <t>[-0.3913, -0.3044]</t>
        </is>
      </c>
      <c r="K48" s="107" t="inlineStr">
        <is>
          <t>[-0.4014, -0.2942]</t>
        </is>
      </c>
      <c r="L48" s="117" t="n">
        <v>-14.6783</v>
      </c>
      <c r="M48" s="118" t="inlineStr">
        <is>
          <t>&lt;0.000001</t>
        </is>
      </c>
      <c r="N48" s="107" t="inlineStr">
        <is>
          <t>***</t>
        </is>
      </c>
      <c r="O48" s="119" t="inlineStr">
        <is>
          <t>UI (P)</t>
        </is>
      </c>
    </row>
    <row r="49">
      <c r="A49" s="122" t="inlineStr"/>
      <c r="B49" s="122" t="inlineStr">
        <is>
          <t>Subject6 均值</t>
        </is>
      </c>
      <c r="C49" s="122" t="inlineStr">
        <is>
          <t>6 对</t>
        </is>
      </c>
      <c r="D49" s="130" t="inlineStr"/>
      <c r="E49" s="124" t="n">
        <v>0.6143999999999999</v>
      </c>
      <c r="F49" s="124" t="inlineStr"/>
      <c r="G49" s="124" t="n">
        <v>0.8023</v>
      </c>
      <c r="H49" s="125" t="n">
        <v>-0.188</v>
      </c>
      <c r="I49" s="124" t="inlineStr"/>
      <c r="J49" s="126" t="inlineStr"/>
      <c r="K49" s="126" t="inlineStr"/>
      <c r="L49" s="127" t="inlineStr"/>
      <c r="M49" s="128" t="inlineStr"/>
      <c r="N49" s="126" t="inlineStr"/>
      <c r="O49" s="126" t="inlineStr"/>
    </row>
    <row r="50">
      <c r="A50" s="96" t="inlineStr">
        <is>
          <t>MERFISH_frontal_cortex</t>
        </is>
      </c>
      <c r="B50" s="96" t="inlineStr">
        <is>
          <t>Subject8</t>
        </is>
      </c>
      <c r="C50" s="96" t="inlineStr">
        <is>
          <t>4_0</t>
        </is>
      </c>
      <c r="D50" s="108" t="n">
        <v>10</v>
      </c>
      <c r="E50" s="109" t="n">
        <v>0.3183</v>
      </c>
      <c r="F50" s="109" t="n">
        <v>0.112</v>
      </c>
      <c r="G50" s="109" t="n">
        <v>0.771</v>
      </c>
      <c r="H50" s="110" t="n">
        <v>-0.4527</v>
      </c>
      <c r="I50" s="109" t="n">
        <v>0.1168</v>
      </c>
      <c r="J50" s="106" t="inlineStr">
        <is>
          <t>[-0.5204, -0.3849]</t>
        </is>
      </c>
      <c r="K50" s="106" t="inlineStr">
        <is>
          <t>[-0.5363, -0.3691]</t>
        </is>
      </c>
      <c r="L50" s="111" t="n">
        <v>-12.2515</v>
      </c>
      <c r="M50" s="112" t="n">
        <v>1e-06</v>
      </c>
      <c r="N50" s="106" t="inlineStr">
        <is>
          <t>***</t>
        </is>
      </c>
      <c r="O50" s="113" t="inlineStr">
        <is>
          <t>UI (P)</t>
        </is>
      </c>
    </row>
    <row r="51">
      <c r="A51" s="99" t="inlineStr">
        <is>
          <t>MERFISH_frontal_cortex</t>
        </is>
      </c>
      <c r="B51" s="99" t="inlineStr">
        <is>
          <t>Subject8</t>
        </is>
      </c>
      <c r="C51" s="99" t="inlineStr">
        <is>
          <t>4_1</t>
        </is>
      </c>
      <c r="D51" s="114" t="n">
        <v>10</v>
      </c>
      <c r="E51" s="115" t="n">
        <v>0.6797</v>
      </c>
      <c r="F51" s="115" t="n">
        <v>0.0762</v>
      </c>
      <c r="G51" s="115" t="n">
        <v>0.846</v>
      </c>
      <c r="H51" s="116" t="n">
        <v>-0.1662</v>
      </c>
      <c r="I51" s="115" t="n">
        <v>0.0688</v>
      </c>
      <c r="J51" s="107" t="inlineStr">
        <is>
          <t>[-0.2061, -0.1263]</t>
        </is>
      </c>
      <c r="K51" s="107" t="inlineStr">
        <is>
          <t>[-0.2155, -0.1170]</t>
        </is>
      </c>
      <c r="L51" s="117" t="n">
        <v>-7.6394</v>
      </c>
      <c r="M51" s="118" t="n">
        <v>3.2e-05</v>
      </c>
      <c r="N51" s="107" t="inlineStr">
        <is>
          <t>***</t>
        </is>
      </c>
      <c r="O51" s="119" t="inlineStr">
        <is>
          <t>UI (P)</t>
        </is>
      </c>
    </row>
    <row r="52">
      <c r="A52" s="96" t="inlineStr">
        <is>
          <t>MERFISH_frontal_cortex</t>
        </is>
      </c>
      <c r="B52" s="96" t="inlineStr">
        <is>
          <t>Subject8</t>
        </is>
      </c>
      <c r="C52" s="96" t="inlineStr">
        <is>
          <t>4_2</t>
        </is>
      </c>
      <c r="D52" s="108" t="n">
        <v>10</v>
      </c>
      <c r="E52" s="109" t="n">
        <v>0.7050999999999999</v>
      </c>
      <c r="F52" s="109" t="n">
        <v>0.0509</v>
      </c>
      <c r="G52" s="109" t="n">
        <v>0.771</v>
      </c>
      <c r="H52" s="110" t="n">
        <v>-0.0659</v>
      </c>
      <c r="I52" s="109" t="n">
        <v>0.06519999999999999</v>
      </c>
      <c r="J52" s="106" t="inlineStr">
        <is>
          <t>[-0.1037, -0.0281]</t>
        </is>
      </c>
      <c r="K52" s="106" t="inlineStr">
        <is>
          <t>[-0.1125, -0.0193]</t>
        </is>
      </c>
      <c r="L52" s="111" t="n">
        <v>-3.1975</v>
      </c>
      <c r="M52" s="112" t="n">
        <v>0.010875</v>
      </c>
      <c r="N52" s="106" t="inlineStr">
        <is>
          <t>*</t>
        </is>
      </c>
      <c r="O52" s="113" t="inlineStr">
        <is>
          <t>UI (Toward ET)</t>
        </is>
      </c>
    </row>
    <row r="53">
      <c r="A53" s="99" t="inlineStr">
        <is>
          <t>MERFISH_frontal_cortex</t>
        </is>
      </c>
      <c r="B53" s="99" t="inlineStr">
        <is>
          <t>Subject8</t>
        </is>
      </c>
      <c r="C53" s="99" t="inlineStr">
        <is>
          <t>6_0</t>
        </is>
      </c>
      <c r="D53" s="114" t="n">
        <v>10</v>
      </c>
      <c r="E53" s="115" t="n">
        <v>0.4619</v>
      </c>
      <c r="F53" s="115" t="n">
        <v>0.0245</v>
      </c>
      <c r="G53" s="115" t="n">
        <v>0.738</v>
      </c>
      <c r="H53" s="116" t="n">
        <v>-0.2761</v>
      </c>
      <c r="I53" s="115" t="n">
        <v>0.0282</v>
      </c>
      <c r="J53" s="107" t="inlineStr">
        <is>
          <t>[-0.2925, -0.2597]</t>
        </is>
      </c>
      <c r="K53" s="107" t="inlineStr">
        <is>
          <t>[-0.2963, -0.2559]</t>
        </is>
      </c>
      <c r="L53" s="117" t="n">
        <v>-30.9133</v>
      </c>
      <c r="M53" s="118" t="inlineStr">
        <is>
          <t>&lt;0.000001</t>
        </is>
      </c>
      <c r="N53" s="107" t="inlineStr">
        <is>
          <t>***</t>
        </is>
      </c>
      <c r="O53" s="119" t="inlineStr">
        <is>
          <t>UI (P)</t>
        </is>
      </c>
    </row>
    <row r="54">
      <c r="A54" s="96" t="inlineStr">
        <is>
          <t>MERFISH_frontal_cortex</t>
        </is>
      </c>
      <c r="B54" s="96" t="inlineStr">
        <is>
          <t>Subject8</t>
        </is>
      </c>
      <c r="C54" s="96" t="inlineStr">
        <is>
          <t>6_1</t>
        </is>
      </c>
      <c r="D54" s="108" t="n">
        <v>10</v>
      </c>
      <c r="E54" s="109" t="n">
        <v>0.6422</v>
      </c>
      <c r="F54" s="109" t="n">
        <v>0.0389</v>
      </c>
      <c r="G54" s="109" t="n">
        <v>0.839</v>
      </c>
      <c r="H54" s="110" t="n">
        <v>-0.1968</v>
      </c>
      <c r="I54" s="109" t="n">
        <v>0.0519</v>
      </c>
      <c r="J54" s="106" t="inlineStr">
        <is>
          <t>[-0.2269, -0.1668]</t>
        </is>
      </c>
      <c r="K54" s="106" t="inlineStr">
        <is>
          <t>[-0.2340, -0.1597]</t>
        </is>
      </c>
      <c r="L54" s="111" t="n">
        <v>-11.9935</v>
      </c>
      <c r="M54" s="112" t="n">
        <v>1e-06</v>
      </c>
      <c r="N54" s="106" t="inlineStr">
        <is>
          <t>***</t>
        </is>
      </c>
      <c r="O54" s="113" t="inlineStr">
        <is>
          <t>UI (P)</t>
        </is>
      </c>
    </row>
    <row r="55">
      <c r="A55" s="99" t="inlineStr">
        <is>
          <t>MERFISH_frontal_cortex</t>
        </is>
      </c>
      <c r="B55" s="99" t="inlineStr">
        <is>
          <t>Subject8</t>
        </is>
      </c>
      <c r="C55" s="99" t="inlineStr">
        <is>
          <t>6_2</t>
        </is>
      </c>
      <c r="D55" s="114" t="n">
        <v>10</v>
      </c>
      <c r="E55" s="115" t="n">
        <v>0.3966</v>
      </c>
      <c r="F55" s="115" t="n">
        <v>0.0377</v>
      </c>
      <c r="G55" s="115" t="n">
        <v>0.757</v>
      </c>
      <c r="H55" s="116" t="n">
        <v>-0.3604</v>
      </c>
      <c r="I55" s="115" t="n">
        <v>0.0375</v>
      </c>
      <c r="J55" s="107" t="inlineStr">
        <is>
          <t>[-0.3821, -0.3386]</t>
        </is>
      </c>
      <c r="K55" s="107" t="inlineStr">
        <is>
          <t>[-0.3872, -0.3335]</t>
        </is>
      </c>
      <c r="L55" s="117" t="n">
        <v>-30.3701</v>
      </c>
      <c r="M55" s="118" t="inlineStr">
        <is>
          <t>&lt;0.000001</t>
        </is>
      </c>
      <c r="N55" s="107" t="inlineStr">
        <is>
          <t>***</t>
        </is>
      </c>
      <c r="O55" s="119" t="inlineStr">
        <is>
          <t>UI (P)</t>
        </is>
      </c>
    </row>
    <row r="56">
      <c r="A56" s="122" t="inlineStr"/>
      <c r="B56" s="122" t="inlineStr">
        <is>
          <t>Subject8 均值</t>
        </is>
      </c>
      <c r="C56" s="122" t="inlineStr">
        <is>
          <t>6 对</t>
        </is>
      </c>
      <c r="D56" s="130" t="inlineStr"/>
      <c r="E56" s="124" t="n">
        <v>0.534</v>
      </c>
      <c r="F56" s="124" t="inlineStr"/>
      <c r="G56" s="124" t="n">
        <v>0.787</v>
      </c>
      <c r="H56" s="125" t="n">
        <v>-0.253</v>
      </c>
      <c r="I56" s="124" t="inlineStr"/>
      <c r="J56" s="126" t="inlineStr"/>
      <c r="K56" s="126" t="inlineStr"/>
      <c r="L56" s="127" t="inlineStr"/>
      <c r="M56" s="128" t="inlineStr"/>
      <c r="N56" s="126" t="inlineStr"/>
      <c r="O56" s="126" t="inlineStr"/>
    </row>
    <row r="57">
      <c r="A57" s="122" t="inlineStr">
        <is>
          <t>小计 / 均值</t>
        </is>
      </c>
      <c r="B57" s="122" t="inlineStr">
        <is>
          <t>MERFISH_frontal_cortex 全部</t>
        </is>
      </c>
      <c r="C57" s="122" t="inlineStr">
        <is>
          <t>18 对</t>
        </is>
      </c>
      <c r="D57" s="130" t="inlineStr"/>
      <c r="E57" s="124" t="n">
        <v>0.5804</v>
      </c>
      <c r="F57" s="124" t="inlineStr"/>
      <c r="G57" s="124" t="n">
        <v>0.7942</v>
      </c>
      <c r="H57" s="125" t="n">
        <v>-0.2138</v>
      </c>
      <c r="I57" s="124" t="inlineStr"/>
      <c r="J57" s="126" t="inlineStr">
        <is>
          <t>Δ 范围 -0.4527 ~ -0.0505</t>
        </is>
      </c>
      <c r="K57" s="126" t="inlineStr"/>
      <c r="L57" s="127" t="inlineStr"/>
      <c r="M57" s="128" t="inlineStr"/>
      <c r="N57" s="126" t="inlineStr"/>
      <c r="O57" s="126" t="inlineStr"/>
    </row>
    <row r="59" ht="20" customHeight="1" s="77">
      <c r="A59" s="92" t="inlineStr">
        <is>
          <t xml:space="preserve">  结论</t>
        </is>
      </c>
    </row>
    <row r="60">
      <c r="A60" s="129" t="inlineStr">
        <is>
          <t>· 42 对全部 Δ 为负，负迁移幅度普遍大于 P2 cross-slice —— 个体差异是比切片差异更强的迁移障碍。</t>
        </is>
      </c>
    </row>
    <row r="61">
      <c r="A61" s="129" t="inlineStr">
        <is>
          <t>· DLPFC：Donor3 作为源整体最弱（→151669/151509/151510 达 −0.33 ~ −0.35）；Donor2→151673（−0.040）最接近等效。</t>
        </is>
      </c>
    </row>
    <row r="62">
      <c r="A62" s="129" t="inlineStr">
        <is>
          <t>· MFC：Subject4→8_1、Subject8→8_1（≈−0.05）最接近；Subject8→4_0（−0.453）最差。</t>
        </is>
      </c>
    </row>
    <row r="63">
      <c r="A63" s="129" t="inlineStr">
        <is>
          <t>· 与 P2 联合构成清晰迁移边界：同个体（cross-slice）优于跨个体（subject-to-subject），数据集内部跨个体已难达 Single。</t>
        </is>
      </c>
    </row>
  </sheetData>
  <autoFilter ref="A4:O64"/>
  <mergeCells count="9">
    <mergeCell ref="A35:O35"/>
    <mergeCell ref="A59:O59"/>
    <mergeCell ref="A2:O2"/>
    <mergeCell ref="A63:O63"/>
    <mergeCell ref="A60:O60"/>
    <mergeCell ref="A1:O1"/>
    <mergeCell ref="A5:O5"/>
    <mergeCell ref="A61:O61"/>
    <mergeCell ref="A62:O62"/>
  </mergeCells>
  <pageMargins left="0.75" right="0.75" top="1" bottom="1" header="0.5" footer="0.5"/>
  <pageSetup orientation="landscape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M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style="77" min="1" max="1"/>
    <col width="34" customWidth="1" style="77" min="2" max="2"/>
    <col width="16" customWidth="1" style="77" min="3" max="3"/>
    <col width="8" customWidth="1" style="77" min="4" max="4"/>
    <col width="11" customWidth="1" style="77" min="5" max="5"/>
    <col width="9" customWidth="1" style="77" min="6" max="6"/>
    <col width="11" customWidth="1" style="77" min="7" max="7"/>
    <col width="14" customWidth="1" style="77" min="8" max="8"/>
    <col width="20" customWidth="1" style="77" min="9" max="9"/>
    <col width="20" customWidth="1" style="77" min="10" max="10"/>
    <col width="11" customWidth="1" style="77" min="11" max="11"/>
    <col width="9" customWidth="1" style="77" min="12" max="12"/>
    <col width="17" customWidth="1" style="77" min="13" max="13"/>
  </cols>
  <sheetData>
    <row r="1" ht="26" customHeight="1" s="77">
      <c r="A1" s="90" t="inlineStr">
        <is>
          <t>P6 Mechanism of Positive Transfer — MERFISH POA 上的正迁移来自哪里</t>
        </is>
      </c>
    </row>
    <row r="2" ht="18" customHeight="1" s="77">
      <c r="A2" s="91" t="inlineStr">
        <is>
          <t>以 MERFISH POA（下丘脑视前区，8 类，5926 细胞）为目标，分别以 MFC / osmFISH / MFC+osmFISH 为源预训练；10 种子 × 5% 标注</t>
        </is>
      </c>
    </row>
    <row r="4" ht="20" customHeight="1" s="77">
      <c r="A4" s="92" t="inlineStr">
        <is>
          <t xml:space="preserve">  参考基线（目标：MERFISH POA）</t>
        </is>
      </c>
    </row>
    <row r="5" ht="32" customHeight="1" s="77">
      <c r="A5" s="93" t="inlineStr">
        <is>
          <t>源数据集</t>
        </is>
      </c>
      <c r="B5" s="93" t="inlineStr">
        <is>
          <t>源构成 / 属性</t>
        </is>
      </c>
      <c r="C5" s="93" t="inlineStr">
        <is>
          <t>目标</t>
        </is>
      </c>
      <c r="D5" s="93" t="inlineStr">
        <is>
          <t>种子数</t>
        </is>
      </c>
      <c r="E5" s="93" t="inlineStr">
        <is>
          <t>ARI</t>
        </is>
      </c>
      <c r="F5" s="93" t="inlineStr">
        <is>
          <t>± std</t>
        </is>
      </c>
      <c r="G5" s="93" t="inlineStr">
        <is>
          <t>Single 基线</t>
        </is>
      </c>
      <c r="H5" s="93" t="inlineStr">
        <is>
          <t>Δ (迁移−Single)</t>
        </is>
      </c>
      <c r="I5" s="93" t="inlineStr">
        <is>
          <t>90% CI</t>
        </is>
      </c>
      <c r="J5" s="93" t="inlineStr">
        <is>
          <t>95% CI</t>
        </is>
      </c>
      <c r="K5" s="93" t="inlineStr">
        <is>
          <t>p 值</t>
        </is>
      </c>
      <c r="L5" s="93" t="inlineStr">
        <is>
          <t>显著性</t>
        </is>
      </c>
      <c r="M5" s="93" t="inlineStr">
        <is>
          <t>迁移分类 (95%CI)</t>
        </is>
      </c>
    </row>
    <row r="6">
      <c r="A6" s="131" t="inlineStr">
        <is>
          <t>完整 LOO</t>
        </is>
      </c>
      <c r="B6" s="131" t="inlineStr">
        <is>
          <t>全部数据集多源预训练（参照上限）</t>
        </is>
      </c>
      <c r="C6" s="131" t="inlineStr">
        <is>
          <t>MERFISH POA</t>
        </is>
      </c>
      <c r="D6" s="132" t="n">
        <v>10</v>
      </c>
      <c r="E6" s="133" t="n">
        <v>0.7789900000000001</v>
      </c>
      <c r="F6" s="133" t="inlineStr"/>
      <c r="G6" s="133" t="inlineStr"/>
      <c r="H6" s="133" t="inlineStr"/>
      <c r="I6" s="134" t="inlineStr"/>
      <c r="J6" s="134" t="inlineStr"/>
      <c r="K6" s="135" t="inlineStr"/>
      <c r="L6" s="134" t="inlineStr"/>
      <c r="M6" s="134" t="inlineStr"/>
    </row>
    <row r="7">
      <c r="A7" s="131" t="inlineStr">
        <is>
          <t>Single</t>
        </is>
      </c>
      <c r="B7" s="131" t="inlineStr">
        <is>
          <t>仅用目标数据集自身预训练（Δ 的基线）</t>
        </is>
      </c>
      <c r="C7" s="131" t="inlineStr">
        <is>
          <t>MERFISH POA</t>
        </is>
      </c>
      <c r="D7" s="132" t="n">
        <v>10</v>
      </c>
      <c r="E7" s="133" t="n">
        <v>0.66896</v>
      </c>
      <c r="F7" s="133" t="inlineStr"/>
      <c r="G7" s="133" t="inlineStr"/>
      <c r="H7" s="133" t="inlineStr"/>
      <c r="I7" s="134" t="inlineStr"/>
      <c r="J7" s="134" t="inlineStr"/>
      <c r="K7" s="135" t="inlineStr"/>
      <c r="L7" s="134" t="inlineStr"/>
      <c r="M7" s="134" t="inlineStr"/>
    </row>
    <row r="8">
      <c r="A8" s="131" t="inlineStr">
        <is>
          <t>PCA</t>
        </is>
      </c>
      <c r="B8" s="131" t="inlineStr">
        <is>
          <t>无预训练，PCA + KMeans（参照下限）</t>
        </is>
      </c>
      <c r="C8" s="131" t="inlineStr">
        <is>
          <t>MERFISH POA</t>
        </is>
      </c>
      <c r="D8" s="132" t="n">
        <v>10</v>
      </c>
      <c r="E8" s="133" t="n">
        <v>0.16396</v>
      </c>
      <c r="F8" s="133" t="inlineStr"/>
      <c r="G8" s="133" t="inlineStr"/>
      <c r="H8" s="133" t="inlineStr"/>
      <c r="I8" s="134" t="inlineStr"/>
      <c r="J8" s="134" t="inlineStr"/>
      <c r="K8" s="135" t="inlineStr"/>
      <c r="L8" s="134" t="inlineStr"/>
      <c r="M8" s="134" t="inlineStr"/>
    </row>
    <row r="10" ht="20" customHeight="1" s="77">
      <c r="A10" s="92" t="inlineStr">
        <is>
          <t xml:space="preserve">  外部预训练源对比</t>
        </is>
      </c>
    </row>
    <row r="11" ht="32" customHeight="1" s="77">
      <c r="A11" s="93" t="inlineStr">
        <is>
          <t>源数据集</t>
        </is>
      </c>
      <c r="B11" s="93" t="inlineStr">
        <is>
          <t>源构成 / 属性</t>
        </is>
      </c>
      <c r="C11" s="93" t="inlineStr">
        <is>
          <t>目标</t>
        </is>
      </c>
      <c r="D11" s="93" t="inlineStr">
        <is>
          <t>种子数</t>
        </is>
      </c>
      <c r="E11" s="93" t="inlineStr">
        <is>
          <t>ARI</t>
        </is>
      </c>
      <c r="F11" s="93" t="inlineStr">
        <is>
          <t>± std</t>
        </is>
      </c>
      <c r="G11" s="93" t="inlineStr">
        <is>
          <t>Single 基线</t>
        </is>
      </c>
      <c r="H11" s="93" t="inlineStr">
        <is>
          <t>Δ (迁移−Single)</t>
        </is>
      </c>
      <c r="I11" s="93" t="inlineStr">
        <is>
          <t>90% CI</t>
        </is>
      </c>
      <c r="J11" s="93" t="inlineStr">
        <is>
          <t>95% CI</t>
        </is>
      </c>
      <c r="K11" s="93" t="inlineStr">
        <is>
          <t>p 值</t>
        </is>
      </c>
      <c r="L11" s="93" t="inlineStr">
        <is>
          <t>显著性</t>
        </is>
      </c>
      <c r="M11" s="93" t="inlineStr">
        <is>
          <t>迁移分类 (95%CI)</t>
        </is>
      </c>
    </row>
    <row r="12">
      <c r="A12" s="96" t="inlineStr">
        <is>
          <t>mfc</t>
        </is>
      </c>
      <c r="B12" s="96" t="inlineStr">
        <is>
          <t>单一相似源：同物种、同平台族（MERFISH 鼠脑额叶）</t>
        </is>
      </c>
      <c r="C12" s="96" t="inlineStr">
        <is>
          <t>MERFISH POA</t>
        </is>
      </c>
      <c r="D12" s="108" t="n">
        <v>10</v>
      </c>
      <c r="E12" s="109" t="n">
        <v>0.5031</v>
      </c>
      <c r="F12" s="109" t="n">
        <v>0.0438</v>
      </c>
      <c r="G12" s="109" t="n">
        <v>0.669</v>
      </c>
      <c r="H12" s="110" t="n">
        <v>-0.1659</v>
      </c>
      <c r="I12" s="106" t="inlineStr">
        <is>
          <t>[-0.2178, -0.1140]</t>
        </is>
      </c>
      <c r="J12" s="106" t="inlineStr">
        <is>
          <t>[-0.2299, -0.1018]</t>
        </is>
      </c>
      <c r="K12" s="112" t="n">
        <v>0.000242</v>
      </c>
      <c r="L12" s="106" t="inlineStr">
        <is>
          <t>***</t>
        </is>
      </c>
      <c r="M12" s="113" t="inlineStr">
        <is>
          <t>UI (P)</t>
        </is>
      </c>
    </row>
    <row r="13">
      <c r="A13" s="99" t="inlineStr">
        <is>
          <t>osmFISH</t>
        </is>
      </c>
      <c r="B13" s="99" t="inlineStr">
        <is>
          <t>单一跨平台源：osmFISH 鼠体感皮层</t>
        </is>
      </c>
      <c r="C13" s="99" t="inlineStr">
        <is>
          <t>MERFISH POA</t>
        </is>
      </c>
      <c r="D13" s="114" t="n">
        <v>10</v>
      </c>
      <c r="E13" s="115" t="n">
        <v>0.5487</v>
      </c>
      <c r="F13" s="115" t="n">
        <v>0.0669</v>
      </c>
      <c r="G13" s="115" t="n">
        <v>0.669</v>
      </c>
      <c r="H13" s="116" t="n">
        <v>-0.1203</v>
      </c>
      <c r="I13" s="107" t="inlineStr">
        <is>
          <t>[-0.1800, -0.0605]</t>
        </is>
      </c>
      <c r="J13" s="107" t="inlineStr">
        <is>
          <t>[-0.1940, -0.0465]</t>
        </is>
      </c>
      <c r="K13" s="118" t="n">
        <v>0.004998</v>
      </c>
      <c r="L13" s="107" t="inlineStr">
        <is>
          <t>**</t>
        </is>
      </c>
      <c r="M13" s="119" t="inlineStr">
        <is>
          <t>UI (P)</t>
        </is>
      </c>
    </row>
    <row r="14">
      <c r="A14" s="96" t="inlineStr">
        <is>
          <t>mfc+osmFISH</t>
        </is>
      </c>
      <c r="B14" s="96" t="inlineStr">
        <is>
          <t>组合源：相似源 + 跨平台源互补</t>
        </is>
      </c>
      <c r="C14" s="96" t="inlineStr">
        <is>
          <t>MERFISH POA</t>
        </is>
      </c>
      <c r="D14" s="108" t="n">
        <v>10</v>
      </c>
      <c r="E14" s="109" t="n">
        <v>0.6272</v>
      </c>
      <c r="F14" s="109" t="n">
        <v>0.0484</v>
      </c>
      <c r="G14" s="109" t="n">
        <v>0.669</v>
      </c>
      <c r="H14" s="110" t="n">
        <v>-0.0418</v>
      </c>
      <c r="I14" s="106" t="inlineStr">
        <is>
          <t>[-0.0924, 0.0089]</t>
        </is>
      </c>
      <c r="J14" s="106" t="inlineStr">
        <is>
          <t>[-0.1043, 0.0207]</t>
        </is>
      </c>
      <c r="K14" s="112" t="n">
        <v>0.164651</v>
      </c>
      <c r="L14" s="106" t="inlineStr">
        <is>
          <t>ns</t>
        </is>
      </c>
      <c r="M14" s="113" t="inlineStr">
        <is>
          <t>UI (Toward ET)</t>
        </is>
      </c>
    </row>
    <row r="16" ht="20" customHeight="1" s="77">
      <c r="A16" s="92" t="inlineStr">
        <is>
          <t xml:space="preserve">  结论</t>
        </is>
      </c>
    </row>
    <row r="17">
      <c r="A17" s="129" t="inlineStr">
        <is>
          <t>· 单一源无论相似（MFC，Δ=−0.166，p&lt;0.001）还是跨平台（osmFISH，Δ=−0.120，p&lt;0.01）都是显著负迁移。</t>
        </is>
      </c>
    </row>
    <row r="18">
      <c r="A18" s="129" t="inlineStr">
        <is>
          <t>· MFC+osmFISH 组合 Δ=−0.042、p=0.16 不显著 —— 统计上已无法与 Single 区分（点估计略越出 ±0.0388 等效界，判为 UI (Toward ET)），跨平台互补补足了单一相似源的不足。</t>
        </is>
      </c>
    </row>
    <row r="19">
      <c r="A19" s="129" t="inlineStr">
        <is>
          <t>· 完整多源 LOO（0.779）进一步显著超越 Single（+0.110），是全表唯一的 PT 正迁移。</t>
        </is>
      </c>
    </row>
    <row r="20">
      <c r="A20" s="129" t="inlineStr">
        <is>
          <t>· 回答设计问题：POA 的正迁移既不来自单一相似源，也不单靠跨平台源，而来自「多源覆盖 + 跨平台互补」——源越多、越多样，迁移越强。</t>
        </is>
      </c>
    </row>
  </sheetData>
  <mergeCells count="9">
    <mergeCell ref="A19:M19"/>
    <mergeCell ref="A1:M1"/>
    <mergeCell ref="A17:M17"/>
    <mergeCell ref="A18:M18"/>
    <mergeCell ref="A4:M4"/>
    <mergeCell ref="A2:M2"/>
    <mergeCell ref="A20:M20"/>
    <mergeCell ref="A16:M16"/>
    <mergeCell ref="A10:M10"/>
  </mergeCells>
  <pageMargins left="0.75" right="0.75" top="1" bottom="1" header="0.5" footer="0.5"/>
  <pageSetup orientation="landscape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L50"/>
  <sheetViews>
    <sheetView showGridLines="0" workbookViewId="0">
      <selection activeCell="A1" sqref="A1"/>
    </sheetView>
  </sheetViews>
  <sheetFormatPr baseColWidth="8" defaultRowHeight="15"/>
  <cols>
    <col width="26" customWidth="1" style="77" min="1" max="1"/>
    <col width="20" customWidth="1" style="77" min="2" max="2"/>
    <col width="22" customWidth="1" style="77" min="3" max="3"/>
    <col width="8" customWidth="1" style="77" min="4" max="4"/>
    <col width="12" customWidth="1" style="77" min="5" max="5"/>
    <col width="9" customWidth="1" style="77" min="6" max="6"/>
    <col width="11" customWidth="1" style="77" min="7" max="7"/>
    <col width="14" customWidth="1" style="77" min="8" max="8"/>
    <col width="20" customWidth="1" style="77" min="9" max="9"/>
    <col width="20" customWidth="1" style="77" min="10" max="10"/>
    <col width="11" customWidth="1" style="77" min="11" max="11"/>
    <col width="22" customWidth="1" style="77" min="12" max="12"/>
  </cols>
  <sheetData>
    <row r="1" ht="26" customHeight="1" s="77">
      <c r="A1" s="90" t="inlineStr">
        <is>
          <t>P7–P16 数据规模对迁移效果的影响 — 目标：MERFISH POA</t>
        </is>
      </c>
    </row>
    <row r="2" ht="18" customHeight="1" s="77">
      <c r="A2" s="91" t="inlineStr">
        <is>
          <t>固定 MFC 为源逐步增加切片（S1⊂S3⊂S5⊂S7⊂S9，3 条增长路径）；另设固定细胞数对照检验「加量 vs 加多样性」；10 种子 × 5% 标注</t>
        </is>
      </c>
    </row>
    <row r="4" ht="20" customHeight="1" s="77">
      <c r="A4" s="92" t="inlineStr">
        <is>
          <t xml:space="preserve">  A. 规模扫描汇总 —— 每个规模为 3 条增长路径的均值（每路径 10 种子）</t>
        </is>
      </c>
    </row>
    <row r="5" ht="32" customHeight="1" s="77">
      <c r="A5" s="93" t="inlineStr">
        <is>
          <t>规模</t>
        </is>
      </c>
      <c r="B5" s="93" t="inlineStr">
        <is>
          <t>MFC 切片数</t>
        </is>
      </c>
      <c r="C5" s="93" t="inlineStr">
        <is>
          <t>路径数</t>
        </is>
      </c>
      <c r="D5" s="93" t="inlineStr">
        <is>
          <t>ARI（3 路径均值）</t>
        </is>
      </c>
      <c r="E5" s="93" t="inlineStr">
        <is>
          <t>路径间 std</t>
        </is>
      </c>
      <c r="F5" s="93" t="inlineStr">
        <is>
          <t>Single 基线</t>
        </is>
      </c>
      <c r="G5" s="93" t="inlineStr">
        <is>
          <t>Δ (迁移−Single)</t>
        </is>
      </c>
      <c r="H5" s="93" t="inlineStr">
        <is>
          <t>path1</t>
        </is>
      </c>
      <c r="I5" s="93" t="inlineStr">
        <is>
          <t>path2</t>
        </is>
      </c>
      <c r="J5" s="93" t="inlineStr">
        <is>
          <t>path3</t>
        </is>
      </c>
      <c r="K5" s="93" t="inlineStr">
        <is>
          <t>迁移分类</t>
        </is>
      </c>
      <c r="L5" s="93" t="inlineStr">
        <is>
          <t>备注</t>
        </is>
      </c>
    </row>
    <row r="6">
      <c r="A6" s="96" t="inlineStr">
        <is>
          <t>S1</t>
        </is>
      </c>
      <c r="B6" s="108" t="n">
        <v>1</v>
      </c>
      <c r="C6" s="108" t="n">
        <v>3</v>
      </c>
      <c r="D6" s="109" t="n">
        <v>0.3508</v>
      </c>
      <c r="E6" s="109" t="n">
        <v>0.0756</v>
      </c>
      <c r="F6" s="109" t="n">
        <v>0.669</v>
      </c>
      <c r="G6" s="110" t="n">
        <v>-0.3182</v>
      </c>
      <c r="H6" s="109" t="n">
        <v>0.3849</v>
      </c>
      <c r="I6" s="109" t="n">
        <v>0.4033</v>
      </c>
      <c r="J6" s="109" t="n">
        <v>0.2641</v>
      </c>
      <c r="K6" s="113" t="inlineStr">
        <is>
          <t>UI (P)</t>
        </is>
      </c>
      <c r="L6" s="106" t="inlineStr">
        <is>
          <t>路径间差异 0.139</t>
        </is>
      </c>
    </row>
    <row r="7">
      <c r="A7" s="99" t="inlineStr">
        <is>
          <t>S3</t>
        </is>
      </c>
      <c r="B7" s="114" t="n">
        <v>3</v>
      </c>
      <c r="C7" s="114" t="n">
        <v>3</v>
      </c>
      <c r="D7" s="115" t="n">
        <v>0.4047</v>
      </c>
      <c r="E7" s="115" t="n">
        <v>0.0359</v>
      </c>
      <c r="F7" s="115" t="n">
        <v>0.669</v>
      </c>
      <c r="G7" s="116" t="n">
        <v>-0.2643</v>
      </c>
      <c r="H7" s="115" t="n">
        <v>0.4366</v>
      </c>
      <c r="I7" s="115" t="n">
        <v>0.3659</v>
      </c>
      <c r="J7" s="115" t="n">
        <v>0.4116</v>
      </c>
      <c r="K7" s="119" t="inlineStr">
        <is>
          <t>UI (P)</t>
        </is>
      </c>
      <c r="L7" s="107" t="inlineStr">
        <is>
          <t>路径间差异 0.071</t>
        </is>
      </c>
    </row>
    <row r="8">
      <c r="A8" s="96" t="inlineStr">
        <is>
          <t>S5</t>
        </is>
      </c>
      <c r="B8" s="108" t="n">
        <v>5</v>
      </c>
      <c r="C8" s="108" t="n">
        <v>3</v>
      </c>
      <c r="D8" s="109" t="n">
        <v>0.4693</v>
      </c>
      <c r="E8" s="109" t="n">
        <v>0.0186</v>
      </c>
      <c r="F8" s="109" t="n">
        <v>0.669</v>
      </c>
      <c r="G8" s="110" t="n">
        <v>-0.1997</v>
      </c>
      <c r="H8" s="109" t="n">
        <v>0.4791</v>
      </c>
      <c r="I8" s="109" t="n">
        <v>0.4479</v>
      </c>
      <c r="J8" s="109" t="n">
        <v>0.481</v>
      </c>
      <c r="K8" s="113" t="inlineStr">
        <is>
          <t>UI (P)</t>
        </is>
      </c>
      <c r="L8" s="106" t="inlineStr">
        <is>
          <t>路径间差异 0.033</t>
        </is>
      </c>
    </row>
    <row r="9">
      <c r="A9" s="99" t="inlineStr">
        <is>
          <t>S7</t>
        </is>
      </c>
      <c r="B9" s="114" t="n">
        <v>7</v>
      </c>
      <c r="C9" s="114" t="n">
        <v>3</v>
      </c>
      <c r="D9" s="115" t="n">
        <v>0.457</v>
      </c>
      <c r="E9" s="115" t="n">
        <v>0.0402</v>
      </c>
      <c r="F9" s="115" t="n">
        <v>0.669</v>
      </c>
      <c r="G9" s="116" t="n">
        <v>-0.212</v>
      </c>
      <c r="H9" s="115" t="n">
        <v>0.4393</v>
      </c>
      <c r="I9" s="115" t="n">
        <v>0.4286</v>
      </c>
      <c r="J9" s="115" t="n">
        <v>0.503</v>
      </c>
      <c r="K9" s="119" t="inlineStr">
        <is>
          <t>UI (P)</t>
        </is>
      </c>
      <c r="L9" s="107" t="inlineStr">
        <is>
          <t>路径间差异 0.074</t>
        </is>
      </c>
    </row>
    <row r="10">
      <c r="A10" s="96" t="inlineStr">
        <is>
          <t>S9</t>
        </is>
      </c>
      <c r="B10" s="108" t="n">
        <v>9</v>
      </c>
      <c r="C10" s="108" t="n">
        <v>3</v>
      </c>
      <c r="D10" s="109" t="n">
        <v>0.5001</v>
      </c>
      <c r="E10" s="109" t="n">
        <v>0.0115</v>
      </c>
      <c r="F10" s="109" t="n">
        <v>0.669</v>
      </c>
      <c r="G10" s="110" t="n">
        <v>-0.1689</v>
      </c>
      <c r="H10" s="109" t="n">
        <v>0.4892</v>
      </c>
      <c r="I10" s="109" t="n">
        <v>0.499</v>
      </c>
      <c r="J10" s="109" t="n">
        <v>0.5122</v>
      </c>
      <c r="K10" s="113" t="inlineStr">
        <is>
          <t>UI (P)</t>
        </is>
      </c>
      <c r="L10" s="106" t="inlineStr">
        <is>
          <t>路径间差异 0.023</t>
        </is>
      </c>
    </row>
    <row r="11">
      <c r="A11" s="131" t="inlineStr">
        <is>
          <t>Single 参照</t>
        </is>
      </c>
      <c r="B11" s="136" t="inlineStr"/>
      <c r="C11" s="136" t="inlineStr"/>
      <c r="D11" s="133" t="n">
        <v>0.669</v>
      </c>
      <c r="E11" s="133" t="inlineStr"/>
      <c r="F11" s="133" t="inlineStr"/>
      <c r="G11" s="133" t="inlineStr"/>
      <c r="H11" s="133" t="inlineStr"/>
      <c r="I11" s="133" t="inlineStr"/>
      <c r="J11" s="133" t="inlineStr"/>
      <c r="K11" s="134" t="inlineStr"/>
      <c r="L11" s="134" t="inlineStr">
        <is>
          <t>目标 POA 的 Single 基线</t>
        </is>
      </c>
    </row>
    <row r="12">
      <c r="A12" s="131" t="inlineStr">
        <is>
          <t>完整 LOO 参照</t>
        </is>
      </c>
      <c r="B12" s="136" t="inlineStr"/>
      <c r="C12" s="136" t="inlineStr"/>
      <c r="D12" s="133" t="n">
        <v>0.779</v>
      </c>
      <c r="E12" s="133" t="inlineStr"/>
      <c r="F12" s="133" t="inlineStr"/>
      <c r="G12" s="133" t="inlineStr"/>
      <c r="H12" s="133" t="inlineStr"/>
      <c r="I12" s="133" t="inlineStr"/>
      <c r="J12" s="133" t="inlineStr"/>
      <c r="K12" s="134" t="inlineStr"/>
      <c r="L12" s="134" t="inlineStr">
        <is>
          <t>全部数据集多源预训练</t>
        </is>
      </c>
    </row>
    <row r="14" ht="20" customHeight="1" s="77">
      <c r="A14" s="92" t="inlineStr">
        <is>
          <t xml:space="preserve">  B. 规模扫描明细 —— 15 个配置（5 规模 × 3 路径）</t>
        </is>
      </c>
    </row>
    <row r="15" ht="32" customHeight="1" s="77">
      <c r="A15" s="93" t="inlineStr">
        <is>
          <t>规模</t>
        </is>
      </c>
      <c r="B15" s="93" t="inlineStr">
        <is>
          <t>增长路径</t>
        </is>
      </c>
      <c r="C15" s="93" t="inlineStr">
        <is>
          <t>配置</t>
        </is>
      </c>
      <c r="D15" s="93" t="inlineStr">
        <is>
          <t>种子数</t>
        </is>
      </c>
      <c r="E15" s="93" t="inlineStr">
        <is>
          <t>ARI</t>
        </is>
      </c>
      <c r="F15" s="93" t="inlineStr">
        <is>
          <t>± std</t>
        </is>
      </c>
      <c r="G15" s="93" t="inlineStr">
        <is>
          <t>Single 基线</t>
        </is>
      </c>
      <c r="H15" s="93" t="inlineStr">
        <is>
          <t>Δ (迁移−Single)</t>
        </is>
      </c>
      <c r="I15" s="93" t="inlineStr">
        <is>
          <t>90% CI</t>
        </is>
      </c>
      <c r="J15" s="93" t="inlineStr">
        <is>
          <t>95% CI</t>
        </is>
      </c>
      <c r="K15" s="93" t="inlineStr">
        <is>
          <t>p 值</t>
        </is>
      </c>
      <c r="L15" s="93" t="inlineStr">
        <is>
          <t>显著性</t>
        </is>
      </c>
    </row>
    <row r="16">
      <c r="A16" s="96" t="inlineStr">
        <is>
          <t>S1</t>
        </is>
      </c>
      <c r="B16" s="96" t="inlineStr">
        <is>
          <t>path1</t>
        </is>
      </c>
      <c r="C16" s="96" t="inlineStr">
        <is>
          <t>S1(path1)</t>
        </is>
      </c>
      <c r="D16" s="108" t="n">
        <v>10</v>
      </c>
      <c r="E16" s="109" t="n">
        <v>0.3849</v>
      </c>
      <c r="F16" s="109" t="n">
        <v>0.0329</v>
      </c>
      <c r="G16" s="109" t="n">
        <v>0.669</v>
      </c>
      <c r="H16" s="110" t="n">
        <v>-0.2841</v>
      </c>
      <c r="I16" s="106" t="inlineStr">
        <is>
          <t>[-0.3196, -0.2486]</t>
        </is>
      </c>
      <c r="J16" s="106" t="inlineStr">
        <is>
          <t>[-0.3280, -0.2403]</t>
        </is>
      </c>
      <c r="K16" s="112" t="inlineStr">
        <is>
          <t>&lt;0.000001</t>
        </is>
      </c>
      <c r="L16" s="106" t="inlineStr">
        <is>
          <t>***</t>
        </is>
      </c>
    </row>
    <row r="17">
      <c r="A17" s="99" t="inlineStr">
        <is>
          <t>S1</t>
        </is>
      </c>
      <c r="B17" s="99" t="inlineStr">
        <is>
          <t>path2</t>
        </is>
      </c>
      <c r="C17" s="99" t="inlineStr">
        <is>
          <t>S1(path2)</t>
        </is>
      </c>
      <c r="D17" s="114" t="n">
        <v>10</v>
      </c>
      <c r="E17" s="115" t="n">
        <v>0.4033</v>
      </c>
      <c r="F17" s="115" t="n">
        <v>0.0533</v>
      </c>
      <c r="G17" s="115" t="n">
        <v>0.669</v>
      </c>
      <c r="H17" s="116" t="n">
        <v>-0.2657</v>
      </c>
      <c r="I17" s="107" t="inlineStr">
        <is>
          <t>[-0.3131, -0.2183]</t>
        </is>
      </c>
      <c r="J17" s="107" t="inlineStr">
        <is>
          <t>[-0.3242, -0.2072]</t>
        </is>
      </c>
      <c r="K17" s="118" t="n">
        <v>3e-06</v>
      </c>
      <c r="L17" s="107" t="inlineStr">
        <is>
          <t>***</t>
        </is>
      </c>
    </row>
    <row r="18">
      <c r="A18" s="96" t="inlineStr">
        <is>
          <t>S1</t>
        </is>
      </c>
      <c r="B18" s="96" t="inlineStr">
        <is>
          <t>path3</t>
        </is>
      </c>
      <c r="C18" s="96" t="inlineStr">
        <is>
          <t>S1(path3)</t>
        </is>
      </c>
      <c r="D18" s="108" t="n">
        <v>10</v>
      </c>
      <c r="E18" s="109" t="n">
        <v>0.2641</v>
      </c>
      <c r="F18" s="109" t="n">
        <v>0.0538</v>
      </c>
      <c r="G18" s="109" t="n">
        <v>0.669</v>
      </c>
      <c r="H18" s="110" t="n">
        <v>-0.4048</v>
      </c>
      <c r="I18" s="106" t="inlineStr">
        <is>
          <t>[-0.4429, -0.3667]</t>
        </is>
      </c>
      <c r="J18" s="106" t="inlineStr">
        <is>
          <t>[-0.4518, -0.3578]</t>
        </is>
      </c>
      <c r="K18" s="112" t="inlineStr">
        <is>
          <t>&lt;0.000001</t>
        </is>
      </c>
      <c r="L18" s="106" t="inlineStr">
        <is>
          <t>***</t>
        </is>
      </c>
    </row>
    <row r="19">
      <c r="A19" s="99" t="inlineStr">
        <is>
          <t>S3</t>
        </is>
      </c>
      <c r="B19" s="99" t="inlineStr">
        <is>
          <t>path1</t>
        </is>
      </c>
      <c r="C19" s="99" t="inlineStr">
        <is>
          <t>S3(path1)</t>
        </is>
      </c>
      <c r="D19" s="114" t="n">
        <v>10</v>
      </c>
      <c r="E19" s="115" t="n">
        <v>0.4366</v>
      </c>
      <c r="F19" s="115" t="n">
        <v>0.0435</v>
      </c>
      <c r="G19" s="115" t="n">
        <v>0.669</v>
      </c>
      <c r="H19" s="116" t="n">
        <v>-0.2324</v>
      </c>
      <c r="I19" s="107" t="inlineStr">
        <is>
          <t>[-0.2782, -0.1865]</t>
        </is>
      </c>
      <c r="J19" s="107" t="inlineStr">
        <is>
          <t>[-0.2890, -0.1758]</t>
        </is>
      </c>
      <c r="K19" s="118" t="n">
        <v>7e-06</v>
      </c>
      <c r="L19" s="107" t="inlineStr">
        <is>
          <t>***</t>
        </is>
      </c>
    </row>
    <row r="20">
      <c r="A20" s="96" t="inlineStr">
        <is>
          <t>S3</t>
        </is>
      </c>
      <c r="B20" s="96" t="inlineStr">
        <is>
          <t>path2</t>
        </is>
      </c>
      <c r="C20" s="96" t="inlineStr">
        <is>
          <t>S3(path2)</t>
        </is>
      </c>
      <c r="D20" s="108" t="n">
        <v>10</v>
      </c>
      <c r="E20" s="109" t="n">
        <v>0.3659</v>
      </c>
      <c r="F20" s="109" t="n">
        <v>0.0631</v>
      </c>
      <c r="G20" s="109" t="n">
        <v>0.669</v>
      </c>
      <c r="H20" s="110" t="n">
        <v>-0.3031</v>
      </c>
      <c r="I20" s="106" t="inlineStr">
        <is>
          <t>[-0.3640, -0.2422]</t>
        </is>
      </c>
      <c r="J20" s="106" t="inlineStr">
        <is>
          <t>[-0.3782, -0.2280]</t>
        </is>
      </c>
      <c r="K20" s="112" t="n">
        <v>8e-06</v>
      </c>
      <c r="L20" s="106" t="inlineStr">
        <is>
          <t>***</t>
        </is>
      </c>
    </row>
    <row r="21">
      <c r="A21" s="99" t="inlineStr">
        <is>
          <t>S3</t>
        </is>
      </c>
      <c r="B21" s="99" t="inlineStr">
        <is>
          <t>path3</t>
        </is>
      </c>
      <c r="C21" s="99" t="inlineStr">
        <is>
          <t>S3(path3)</t>
        </is>
      </c>
      <c r="D21" s="114" t="n">
        <v>10</v>
      </c>
      <c r="E21" s="115" t="n">
        <v>0.4116</v>
      </c>
      <c r="F21" s="115" t="n">
        <v>0.0576</v>
      </c>
      <c r="G21" s="115" t="n">
        <v>0.669</v>
      </c>
      <c r="H21" s="116" t="n">
        <v>-0.2574</v>
      </c>
      <c r="I21" s="107" t="inlineStr">
        <is>
          <t>[-0.3185, -0.1963]</t>
        </is>
      </c>
      <c r="J21" s="107" t="inlineStr">
        <is>
          <t>[-0.3327, -0.1820]</t>
        </is>
      </c>
      <c r="K21" s="118" t="n">
        <v>2.9e-05</v>
      </c>
      <c r="L21" s="107" t="inlineStr">
        <is>
          <t>***</t>
        </is>
      </c>
    </row>
    <row r="22">
      <c r="A22" s="96" t="inlineStr">
        <is>
          <t>S5</t>
        </is>
      </c>
      <c r="B22" s="96" t="inlineStr">
        <is>
          <t>path1</t>
        </is>
      </c>
      <c r="C22" s="96" t="inlineStr">
        <is>
          <t>S5(path1)</t>
        </is>
      </c>
      <c r="D22" s="108" t="n">
        <v>10</v>
      </c>
      <c r="E22" s="109" t="n">
        <v>0.4791</v>
      </c>
      <c r="F22" s="109" t="n">
        <v>0.0552</v>
      </c>
      <c r="G22" s="109" t="n">
        <v>0.669</v>
      </c>
      <c r="H22" s="110" t="n">
        <v>-0.1898</v>
      </c>
      <c r="I22" s="106" t="inlineStr">
        <is>
          <t>[-0.2517, -0.1280]</t>
        </is>
      </c>
      <c r="J22" s="106" t="inlineStr">
        <is>
          <t>[-0.2662, -0.1135]</t>
        </is>
      </c>
      <c r="K22" s="112" t="n">
        <v>0.000323</v>
      </c>
      <c r="L22" s="106" t="inlineStr">
        <is>
          <t>***</t>
        </is>
      </c>
    </row>
    <row r="23">
      <c r="A23" s="99" t="inlineStr">
        <is>
          <t>S5</t>
        </is>
      </c>
      <c r="B23" s="99" t="inlineStr">
        <is>
          <t>path2</t>
        </is>
      </c>
      <c r="C23" s="99" t="inlineStr">
        <is>
          <t>S5(path2)</t>
        </is>
      </c>
      <c r="D23" s="114" t="n">
        <v>10</v>
      </c>
      <c r="E23" s="115" t="n">
        <v>0.4479</v>
      </c>
      <c r="F23" s="115" t="n">
        <v>0.046</v>
      </c>
      <c r="G23" s="115" t="n">
        <v>0.669</v>
      </c>
      <c r="H23" s="116" t="n">
        <v>-0.2211</v>
      </c>
      <c r="I23" s="107" t="inlineStr">
        <is>
          <t>[-0.2631, -0.1791]</t>
        </is>
      </c>
      <c r="J23" s="107" t="inlineStr">
        <is>
          <t>[-0.2730, -0.1692]</t>
        </is>
      </c>
      <c r="K23" s="118" t="n">
        <v>5e-06</v>
      </c>
      <c r="L23" s="107" t="inlineStr">
        <is>
          <t>***</t>
        </is>
      </c>
    </row>
    <row r="24">
      <c r="A24" s="96" t="inlineStr">
        <is>
          <t>S5</t>
        </is>
      </c>
      <c r="B24" s="96" t="inlineStr">
        <is>
          <t>path3</t>
        </is>
      </c>
      <c r="C24" s="96" t="inlineStr">
        <is>
          <t>S5(path3)</t>
        </is>
      </c>
      <c r="D24" s="108" t="n">
        <v>10</v>
      </c>
      <c r="E24" s="109" t="n">
        <v>0.481</v>
      </c>
      <c r="F24" s="109" t="n">
        <v>0.0331</v>
      </c>
      <c r="G24" s="109" t="n">
        <v>0.669</v>
      </c>
      <c r="H24" s="110" t="n">
        <v>-0.188</v>
      </c>
      <c r="I24" s="106" t="inlineStr">
        <is>
          <t>[-0.2281, -0.1478]</t>
        </is>
      </c>
      <c r="J24" s="106" t="inlineStr">
        <is>
          <t>[-0.2375, -0.1384]</t>
        </is>
      </c>
      <c r="K24" s="112" t="n">
        <v>1.3e-05</v>
      </c>
      <c r="L24" s="106" t="inlineStr">
        <is>
          <t>***</t>
        </is>
      </c>
    </row>
    <row r="25">
      <c r="A25" s="99" t="inlineStr">
        <is>
          <t>S7</t>
        </is>
      </c>
      <c r="B25" s="99" t="inlineStr">
        <is>
          <t>path1</t>
        </is>
      </c>
      <c r="C25" s="99" t="inlineStr">
        <is>
          <t>S7(path1)</t>
        </is>
      </c>
      <c r="D25" s="114" t="n">
        <v>10</v>
      </c>
      <c r="E25" s="115" t="n">
        <v>0.4393</v>
      </c>
      <c r="F25" s="115" t="n">
        <v>0.0441</v>
      </c>
      <c r="G25" s="115" t="n">
        <v>0.669</v>
      </c>
      <c r="H25" s="116" t="n">
        <v>-0.2296</v>
      </c>
      <c r="I25" s="107" t="inlineStr">
        <is>
          <t>[-0.2739, -0.1853]</t>
        </is>
      </c>
      <c r="J25" s="107" t="inlineStr">
        <is>
          <t>[-0.2843, -0.1749]</t>
        </is>
      </c>
      <c r="K25" s="118" t="n">
        <v>5e-06</v>
      </c>
      <c r="L25" s="107" t="inlineStr">
        <is>
          <t>***</t>
        </is>
      </c>
    </row>
    <row r="26">
      <c r="A26" s="96" t="inlineStr">
        <is>
          <t>S7</t>
        </is>
      </c>
      <c r="B26" s="96" t="inlineStr">
        <is>
          <t>path2</t>
        </is>
      </c>
      <c r="C26" s="96" t="inlineStr">
        <is>
          <t>S7(path2)</t>
        </is>
      </c>
      <c r="D26" s="108" t="n">
        <v>10</v>
      </c>
      <c r="E26" s="109" t="n">
        <v>0.4286</v>
      </c>
      <c r="F26" s="109" t="n">
        <v>0.0673</v>
      </c>
      <c r="G26" s="109" t="n">
        <v>0.669</v>
      </c>
      <c r="H26" s="110" t="n">
        <v>-0.2404</v>
      </c>
      <c r="I26" s="106" t="inlineStr">
        <is>
          <t>[-0.2932, -0.1875]</t>
        </is>
      </c>
      <c r="J26" s="106" t="inlineStr">
        <is>
          <t>[-0.3056, -0.1751]</t>
        </is>
      </c>
      <c r="K26" s="112" t="n">
        <v>1.6e-05</v>
      </c>
      <c r="L26" s="106" t="inlineStr">
        <is>
          <t>***</t>
        </is>
      </c>
    </row>
    <row r="27">
      <c r="A27" s="99" t="inlineStr">
        <is>
          <t>S7</t>
        </is>
      </c>
      <c r="B27" s="99" t="inlineStr">
        <is>
          <t>path3</t>
        </is>
      </c>
      <c r="C27" s="99" t="inlineStr">
        <is>
          <t>S7(path3)</t>
        </is>
      </c>
      <c r="D27" s="114" t="n">
        <v>10</v>
      </c>
      <c r="E27" s="115" t="n">
        <v>0.503</v>
      </c>
      <c r="F27" s="115" t="n">
        <v>0.0412</v>
      </c>
      <c r="G27" s="115" t="n">
        <v>0.669</v>
      </c>
      <c r="H27" s="116" t="n">
        <v>-0.1659</v>
      </c>
      <c r="I27" s="107" t="inlineStr">
        <is>
          <t>[-0.2200, -0.1119]</t>
        </is>
      </c>
      <c r="J27" s="107" t="inlineStr">
        <is>
          <t>[-0.2326, -0.0992]</t>
        </is>
      </c>
      <c r="K27" s="118" t="n">
        <v>0.000323</v>
      </c>
      <c r="L27" s="107" t="inlineStr">
        <is>
          <t>***</t>
        </is>
      </c>
    </row>
    <row r="28">
      <c r="A28" s="96" t="inlineStr">
        <is>
          <t>S9</t>
        </is>
      </c>
      <c r="B28" s="96" t="inlineStr">
        <is>
          <t>path1</t>
        </is>
      </c>
      <c r="C28" s="96" t="inlineStr">
        <is>
          <t>S9(path1)</t>
        </is>
      </c>
      <c r="D28" s="108" t="n">
        <v>10</v>
      </c>
      <c r="E28" s="109" t="n">
        <v>0.4892</v>
      </c>
      <c r="F28" s="109" t="n">
        <v>0.0534</v>
      </c>
      <c r="G28" s="109" t="n">
        <v>0.669</v>
      </c>
      <c r="H28" s="110" t="n">
        <v>-0.1798</v>
      </c>
      <c r="I28" s="106" t="inlineStr">
        <is>
          <t>[-0.2333, -0.1264]</t>
        </is>
      </c>
      <c r="J28" s="106" t="inlineStr">
        <is>
          <t>[-0.2458, -0.1139]</t>
        </is>
      </c>
      <c r="K28" s="112" t="n">
        <v>0.000165</v>
      </c>
      <c r="L28" s="106" t="inlineStr">
        <is>
          <t>***</t>
        </is>
      </c>
    </row>
    <row r="29">
      <c r="A29" s="99" t="inlineStr">
        <is>
          <t>S9</t>
        </is>
      </c>
      <c r="B29" s="99" t="inlineStr">
        <is>
          <t>path2</t>
        </is>
      </c>
      <c r="C29" s="99" t="inlineStr">
        <is>
          <t>S9(path2)</t>
        </is>
      </c>
      <c r="D29" s="114" t="n">
        <v>10</v>
      </c>
      <c r="E29" s="115" t="n">
        <v>0.499</v>
      </c>
      <c r="F29" s="115" t="n">
        <v>0.0344</v>
      </c>
      <c r="G29" s="115" t="n">
        <v>0.669</v>
      </c>
      <c r="H29" s="116" t="n">
        <v>-0.1699</v>
      </c>
      <c r="I29" s="107" t="inlineStr">
        <is>
          <t>[-0.2028, -0.1370]</t>
        </is>
      </c>
      <c r="J29" s="107" t="inlineStr">
        <is>
          <t>[-0.2105, -0.1293]</t>
        </is>
      </c>
      <c r="K29" s="118" t="n">
        <v>6e-06</v>
      </c>
      <c r="L29" s="107" t="inlineStr">
        <is>
          <t>***</t>
        </is>
      </c>
    </row>
    <row r="30">
      <c r="A30" s="96" t="inlineStr">
        <is>
          <t>S9</t>
        </is>
      </c>
      <c r="B30" s="96" t="inlineStr">
        <is>
          <t>path3</t>
        </is>
      </c>
      <c r="C30" s="96" t="inlineStr">
        <is>
          <t>S9(path3)</t>
        </is>
      </c>
      <c r="D30" s="108" t="n">
        <v>10</v>
      </c>
      <c r="E30" s="109" t="n">
        <v>0.5122</v>
      </c>
      <c r="F30" s="109" t="n">
        <v>0.0643</v>
      </c>
      <c r="G30" s="109" t="n">
        <v>0.669</v>
      </c>
      <c r="H30" s="110" t="n">
        <v>-0.1568</v>
      </c>
      <c r="I30" s="106" t="inlineStr">
        <is>
          <t>[-0.2255, -0.0880]</t>
        </is>
      </c>
      <c r="J30" s="106" t="inlineStr">
        <is>
          <t>[-0.2416, -0.0719]</t>
        </is>
      </c>
      <c r="K30" s="112" t="n">
        <v>0.002377</v>
      </c>
      <c r="L30" s="106" t="inlineStr">
        <is>
          <t>**</t>
        </is>
      </c>
    </row>
    <row r="32" ht="20" customHeight="1" s="77">
      <c r="A32" s="92" t="inlineStr">
        <is>
          <t xml:space="preserve">  C. 固定细胞数对照 —— 同等细胞量下「加 MFC 切片」vs「加跨平台 osmFISH」</t>
        </is>
      </c>
    </row>
    <row r="33" ht="32" customHeight="1" s="77">
      <c r="A33" s="93" t="inlineStr">
        <is>
          <t>对照组</t>
        </is>
      </c>
      <c r="B33" s="93" t="inlineStr">
        <is>
          <t>配置</t>
        </is>
      </c>
      <c r="C33" s="93" t="inlineStr">
        <is>
          <t>采样组</t>
        </is>
      </c>
      <c r="D33" s="93" t="inlineStr">
        <is>
          <t>种子数</t>
        </is>
      </c>
      <c r="E33" s="93" t="inlineStr">
        <is>
          <t>ARI</t>
        </is>
      </c>
      <c r="F33" s="93" t="inlineStr">
        <is>
          <t>± std</t>
        </is>
      </c>
      <c r="G33" s="93" t="inlineStr">
        <is>
          <t>Single 基线</t>
        </is>
      </c>
      <c r="H33" s="93" t="inlineStr">
        <is>
          <t>Δ (迁移−Single)</t>
        </is>
      </c>
      <c r="I33" s="93" t="inlineStr">
        <is>
          <t>95% CI</t>
        </is>
      </c>
      <c r="J33" s="93" t="inlineStr">
        <is>
          <t>p 值</t>
        </is>
      </c>
      <c r="K33" s="93" t="inlineStr">
        <is>
          <t>显著性</t>
        </is>
      </c>
      <c r="L33" s="93" t="inlineStr">
        <is>
          <t>迁移分类</t>
        </is>
      </c>
    </row>
    <row r="34">
      <c r="A34" s="96" t="inlineStr">
        <is>
          <t>对照 1：3 张 MFC + osmFISH</t>
        </is>
      </c>
      <c r="B34" s="96" t="inlineStr">
        <is>
          <t>3张MFC+osmFISH(set0)</t>
        </is>
      </c>
      <c r="C34" s="96" t="inlineStr">
        <is>
          <t>set0</t>
        </is>
      </c>
      <c r="D34" s="108" t="n">
        <v>10</v>
      </c>
      <c r="E34" s="109" t="n">
        <v>0.5780999999999999</v>
      </c>
      <c r="F34" s="109" t="n">
        <v>0.0243</v>
      </c>
      <c r="G34" s="109" t="n">
        <v>0.669</v>
      </c>
      <c r="H34" s="110" t="n">
        <v>-0.09089999999999999</v>
      </c>
      <c r="I34" s="106" t="inlineStr">
        <is>
          <t>[-0.1389, -0.0429]</t>
        </is>
      </c>
      <c r="J34" s="112" t="n">
        <v>0.002036</v>
      </c>
      <c r="K34" s="106" t="inlineStr">
        <is>
          <t>**</t>
        </is>
      </c>
      <c r="L34" s="113" t="inlineStr">
        <is>
          <t>UI (P)</t>
        </is>
      </c>
    </row>
    <row r="35">
      <c r="A35" s="99" t="inlineStr">
        <is>
          <t>对照 1：3 张 MFC + osmFISH</t>
        </is>
      </c>
      <c r="B35" s="99" t="inlineStr">
        <is>
          <t>3张MFC+osmFISH(set1)</t>
        </is>
      </c>
      <c r="C35" s="99" t="inlineStr">
        <is>
          <t>set1</t>
        </is>
      </c>
      <c r="D35" s="114" t="n">
        <v>10</v>
      </c>
      <c r="E35" s="115" t="n">
        <v>0.5665</v>
      </c>
      <c r="F35" s="115" t="n">
        <v>0.0469</v>
      </c>
      <c r="G35" s="115" t="n">
        <v>0.669</v>
      </c>
      <c r="H35" s="116" t="n">
        <v>-0.1025</v>
      </c>
      <c r="I35" s="107" t="inlineStr">
        <is>
          <t>[-0.1520, -0.0529]</t>
        </is>
      </c>
      <c r="J35" s="118" t="n">
        <v>0.001151</v>
      </c>
      <c r="K35" s="107" t="inlineStr">
        <is>
          <t>**</t>
        </is>
      </c>
      <c r="L35" s="119" t="inlineStr">
        <is>
          <t>UI (P)</t>
        </is>
      </c>
    </row>
    <row r="36">
      <c r="A36" s="96" t="inlineStr">
        <is>
          <t>对照 1：3 张 MFC + osmFISH</t>
        </is>
      </c>
      <c r="B36" s="96" t="inlineStr">
        <is>
          <t>3张MFC+osmFISH(set2)</t>
        </is>
      </c>
      <c r="C36" s="96" t="inlineStr">
        <is>
          <t>set2</t>
        </is>
      </c>
      <c r="D36" s="108" t="n">
        <v>10</v>
      </c>
      <c r="E36" s="109" t="n">
        <v>0.5693</v>
      </c>
      <c r="F36" s="109" t="n">
        <v>0.0404</v>
      </c>
      <c r="G36" s="109" t="n">
        <v>0.669</v>
      </c>
      <c r="H36" s="110" t="n">
        <v>-0.0997</v>
      </c>
      <c r="I36" s="106" t="inlineStr">
        <is>
          <t>[-0.1445, -0.0549]</t>
        </is>
      </c>
      <c r="J36" s="112" t="n">
        <v>0.00071</v>
      </c>
      <c r="K36" s="106" t="inlineStr">
        <is>
          <t>***</t>
        </is>
      </c>
      <c r="L36" s="113" t="inlineStr">
        <is>
          <t>UI (P)</t>
        </is>
      </c>
    </row>
    <row r="37">
      <c r="A37" s="122" t="inlineStr">
        <is>
          <t>对照 1：3 张 MFC + osmFISH 均值</t>
        </is>
      </c>
      <c r="B37" s="122" t="inlineStr">
        <is>
          <t>3 组采样均值</t>
        </is>
      </c>
      <c r="C37" s="122" t="inlineStr"/>
      <c r="D37" s="130" t="inlineStr"/>
      <c r="E37" s="124" t="n">
        <v>0.5713</v>
      </c>
      <c r="F37" s="124" t="inlineStr"/>
      <c r="G37" s="124" t="n">
        <v>0.669</v>
      </c>
      <c r="H37" s="125" t="n">
        <v>-0.0977</v>
      </c>
      <c r="I37" s="126" t="inlineStr"/>
      <c r="J37" s="128" t="inlineStr"/>
      <c r="K37" s="126" t="inlineStr"/>
      <c r="L37" s="126" t="inlineStr"/>
    </row>
    <row r="38">
      <c r="A38" s="99" t="inlineStr">
        <is>
          <t>对照 1：4 张 MFC（等细胞量）</t>
        </is>
      </c>
      <c r="B38" s="99" t="inlineStr">
        <is>
          <t>4张MFC(set0)</t>
        </is>
      </c>
      <c r="C38" s="99" t="inlineStr">
        <is>
          <t>set0</t>
        </is>
      </c>
      <c r="D38" s="114" t="n">
        <v>10</v>
      </c>
      <c r="E38" s="115" t="n">
        <v>0.428</v>
      </c>
      <c r="F38" s="115" t="n">
        <v>0.042</v>
      </c>
      <c r="G38" s="115" t="n">
        <v>0.669</v>
      </c>
      <c r="H38" s="116" t="n">
        <v>-0.241</v>
      </c>
      <c r="I38" s="107" t="inlineStr">
        <is>
          <t>[-0.2815, -0.2004]</t>
        </is>
      </c>
      <c r="J38" s="118" t="inlineStr">
        <is>
          <t>&lt;0.000001</t>
        </is>
      </c>
      <c r="K38" s="107" t="inlineStr">
        <is>
          <t>***</t>
        </is>
      </c>
      <c r="L38" s="119" t="inlineStr">
        <is>
          <t>UI (P)</t>
        </is>
      </c>
    </row>
    <row r="39">
      <c r="A39" s="96" t="inlineStr">
        <is>
          <t>对照 1：4 张 MFC（等细胞量）</t>
        </is>
      </c>
      <c r="B39" s="96" t="inlineStr">
        <is>
          <t>4张MFC(set1)</t>
        </is>
      </c>
      <c r="C39" s="96" t="inlineStr">
        <is>
          <t>set1</t>
        </is>
      </c>
      <c r="D39" s="108" t="n">
        <v>10</v>
      </c>
      <c r="E39" s="109" t="n">
        <v>0.4532</v>
      </c>
      <c r="F39" s="109" t="n">
        <v>0.0382</v>
      </c>
      <c r="G39" s="109" t="n">
        <v>0.669</v>
      </c>
      <c r="H39" s="110" t="n">
        <v>-0.2158</v>
      </c>
      <c r="I39" s="106" t="inlineStr">
        <is>
          <t>[-0.2539, -0.1777]</t>
        </is>
      </c>
      <c r="J39" s="112" t="inlineStr">
        <is>
          <t>&lt;0.000001</t>
        </is>
      </c>
      <c r="K39" s="106" t="inlineStr">
        <is>
          <t>***</t>
        </is>
      </c>
      <c r="L39" s="113" t="inlineStr">
        <is>
          <t>UI (P)</t>
        </is>
      </c>
    </row>
    <row r="40">
      <c r="A40" s="99" t="inlineStr">
        <is>
          <t>对照 1：4 张 MFC（等细胞量）</t>
        </is>
      </c>
      <c r="B40" s="99" t="inlineStr">
        <is>
          <t>4张MFC(set2)</t>
        </is>
      </c>
      <c r="C40" s="99" t="inlineStr">
        <is>
          <t>set2</t>
        </is>
      </c>
      <c r="D40" s="114" t="n">
        <v>10</v>
      </c>
      <c r="E40" s="115" t="n">
        <v>0.39</v>
      </c>
      <c r="F40" s="115" t="n">
        <v>0.0735</v>
      </c>
      <c r="G40" s="115" t="n">
        <v>0.669</v>
      </c>
      <c r="H40" s="116" t="n">
        <v>-0.279</v>
      </c>
      <c r="I40" s="107" t="inlineStr">
        <is>
          <t>[-0.3513, -0.2067]</t>
        </is>
      </c>
      <c r="J40" s="118" t="n">
        <v>1.1e-05</v>
      </c>
      <c r="K40" s="107" t="inlineStr">
        <is>
          <t>***</t>
        </is>
      </c>
      <c r="L40" s="119" t="inlineStr">
        <is>
          <t>UI (P)</t>
        </is>
      </c>
    </row>
    <row r="41">
      <c r="A41" s="122" t="inlineStr">
        <is>
          <t>对照 1：4 张 MFC（等细胞量） 均值</t>
        </is>
      </c>
      <c r="B41" s="122" t="inlineStr">
        <is>
          <t>3 组采样均值</t>
        </is>
      </c>
      <c r="C41" s="122" t="inlineStr"/>
      <c r="D41" s="130" t="inlineStr"/>
      <c r="E41" s="124" t="n">
        <v>0.4237</v>
      </c>
      <c r="F41" s="124" t="inlineStr"/>
      <c r="G41" s="124" t="n">
        <v>0.669</v>
      </c>
      <c r="H41" s="125" t="n">
        <v>-0.2453</v>
      </c>
      <c r="I41" s="126" t="inlineStr"/>
      <c r="J41" s="128" t="inlineStr"/>
      <c r="K41" s="126" t="inlineStr"/>
      <c r="L41" s="126" t="inlineStr"/>
    </row>
    <row r="42">
      <c r="A42" s="96" t="inlineStr">
        <is>
          <t>对照 2：9 张 MFC</t>
        </is>
      </c>
      <c r="B42" s="96" t="inlineStr">
        <is>
          <t>9张MFC</t>
        </is>
      </c>
      <c r="C42" s="96" t="inlineStr">
        <is>
          <t>—</t>
        </is>
      </c>
      <c r="D42" s="108" t="n">
        <v>10</v>
      </c>
      <c r="E42" s="109" t="n">
        <v>0.5103</v>
      </c>
      <c r="F42" s="109" t="n">
        <v>0.0246</v>
      </c>
      <c r="G42" s="109" t="n">
        <v>0.669</v>
      </c>
      <c r="H42" s="110" t="n">
        <v>-0.1587</v>
      </c>
      <c r="I42" s="106" t="inlineStr">
        <is>
          <t>[-0.2015, -0.1158]</t>
        </is>
      </c>
      <c r="J42" s="112" t="n">
        <v>1.5e-05</v>
      </c>
      <c r="K42" s="106" t="inlineStr">
        <is>
          <t>***</t>
        </is>
      </c>
      <c r="L42" s="113" t="inlineStr">
        <is>
          <t>UI (P)</t>
        </is>
      </c>
    </row>
    <row r="43">
      <c r="A43" s="99" t="inlineStr">
        <is>
          <t>对照 2：9 张 MFC + osmFISH</t>
        </is>
      </c>
      <c r="B43" s="99" t="inlineStr">
        <is>
          <t>9张MFC+osmFISH</t>
        </is>
      </c>
      <c r="C43" s="99" t="inlineStr">
        <is>
          <t>—</t>
        </is>
      </c>
      <c r="D43" s="114" t="n">
        <v>10</v>
      </c>
      <c r="E43" s="115" t="n">
        <v>0.6242</v>
      </c>
      <c r="F43" s="115" t="n">
        <v>0.0468</v>
      </c>
      <c r="G43" s="115" t="n">
        <v>0.669</v>
      </c>
      <c r="H43" s="116" t="n">
        <v>-0.0448</v>
      </c>
      <c r="I43" s="107" t="inlineStr">
        <is>
          <t>[-0.1040, 0.0145]</t>
        </is>
      </c>
      <c r="J43" s="118" t="n">
        <v>0.121485</v>
      </c>
      <c r="K43" s="107" t="inlineStr">
        <is>
          <t>ns</t>
        </is>
      </c>
      <c r="L43" s="119" t="inlineStr">
        <is>
          <t>UI (Toward ET)</t>
        </is>
      </c>
    </row>
    <row r="45" ht="20" customHeight="1" s="77">
      <c r="A45" s="92" t="inlineStr">
        <is>
          <t xml:space="preserve">  结论</t>
        </is>
      </c>
    </row>
    <row r="46">
      <c r="A46" s="129" t="inlineStr">
        <is>
          <t>· 规模效应成立：S1→S9，Δ 从 −0.318 单调收窄到 −0.169，源数据越多迁移越强。</t>
        </is>
      </c>
    </row>
    <row r="47">
      <c r="A47" s="129" t="inlineStr">
        <is>
          <t>· 但存在平台天花板：即使 S9（全部 9 张 MFC）也远达不到 Single（0.500 vs 0.669）——单一平台加量无法跨越等效界。</t>
        </is>
      </c>
    </row>
    <row r="48">
      <c r="A48" s="129" t="inlineStr">
        <is>
          <t>· 等细胞量对照给出直接证据：3 张 MFC + osmFISH（0.571）显著优于 4 张 MFC（0.424），差距 0.147 ——「加跨平台多样性」的收益远大于「加同源数据量」。</t>
        </is>
      </c>
    </row>
    <row r="49">
      <c r="A49" s="129" t="inlineStr">
        <is>
          <t>· 9 张 MFC + osmFISH（0.624，Δ=−0.045，p=0.12 不显著）是规模实验的最优配置，与 P6 的 MFC+osmFISH 结论一致：统计上已无法与 Single 区分。</t>
        </is>
      </c>
    </row>
    <row r="50">
      <c r="A50" s="129" t="inlineStr">
        <is>
          <t>· 源规模与源多样性是两个正交杠杆；达到平台数据规模上限后，跨平台互补是进一步提效的关键。</t>
        </is>
      </c>
    </row>
  </sheetData>
  <mergeCells count="11">
    <mergeCell ref="A2:L2"/>
    <mergeCell ref="A49:L49"/>
    <mergeCell ref="A47:L47"/>
    <mergeCell ref="A1:L1"/>
    <mergeCell ref="A45:L45"/>
    <mergeCell ref="A32:L32"/>
    <mergeCell ref="A46:L46"/>
    <mergeCell ref="A14:L14"/>
    <mergeCell ref="A50:L50"/>
    <mergeCell ref="A4:L4"/>
    <mergeCell ref="A48:L48"/>
  </mergeCells>
  <pageMargins left="0.75" right="0.75" top="1" bottom="1" header="0.5" footer="0.5"/>
  <pageSetup orientation="landscape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M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style="77" min="1" max="1"/>
    <col width="34" customWidth="1" style="77" min="2" max="2"/>
    <col width="16" customWidth="1" style="77" min="3" max="3"/>
    <col width="8" customWidth="1" style="77" min="4" max="4"/>
    <col width="11" customWidth="1" style="77" min="5" max="5"/>
    <col width="9" customWidth="1" style="77" min="6" max="6"/>
    <col width="11" customWidth="1" style="77" min="7" max="7"/>
    <col width="14" customWidth="1" style="77" min="8" max="8"/>
    <col width="20" customWidth="1" style="77" min="9" max="9"/>
    <col width="20" customWidth="1" style="77" min="10" max="10"/>
    <col width="11" customWidth="1" style="77" min="11" max="11"/>
    <col width="9" customWidth="1" style="77" min="12" max="12"/>
    <col width="17" customWidth="1" style="77" min="13" max="13"/>
  </cols>
  <sheetData>
    <row r="1" ht="26" customHeight="1" s="77">
      <c r="A1" s="90" t="inlineStr">
        <is>
          <t>P18 Representative Equivalent Transfer — Cross-platform（osmFISH 为目标）</t>
        </is>
      </c>
    </row>
    <row r="2" ht="18" customHeight="1" s="77">
      <c r="A2" s="91" t="inlineStr">
        <is>
          <t>跨平台、同物种、同器官不同脑区条件下，外部预训练能否达到与 Single 等效；10 种子 × 5% 标注</t>
        </is>
      </c>
    </row>
    <row r="4" ht="20" customHeight="1" s="77">
      <c r="A4" s="92" t="inlineStr">
        <is>
          <t xml:space="preserve">  参考基线（目标：osmFISH）</t>
        </is>
      </c>
    </row>
    <row r="5" ht="32" customHeight="1" s="77">
      <c r="A5" s="93" t="inlineStr">
        <is>
          <t>源数据集</t>
        </is>
      </c>
      <c r="B5" s="93" t="inlineStr">
        <is>
          <t>源构成 / 属性</t>
        </is>
      </c>
      <c r="C5" s="93" t="inlineStr">
        <is>
          <t>目标</t>
        </is>
      </c>
      <c r="D5" s="93" t="inlineStr">
        <is>
          <t>种子数</t>
        </is>
      </c>
      <c r="E5" s="93" t="inlineStr">
        <is>
          <t>ARI</t>
        </is>
      </c>
      <c r="F5" s="93" t="inlineStr">
        <is>
          <t>± std</t>
        </is>
      </c>
      <c r="G5" s="93" t="inlineStr">
        <is>
          <t>Single 基线</t>
        </is>
      </c>
      <c r="H5" s="93" t="inlineStr">
        <is>
          <t>Δ (迁移−Single)</t>
        </is>
      </c>
      <c r="I5" s="93" t="inlineStr">
        <is>
          <t>90% CI</t>
        </is>
      </c>
      <c r="J5" s="93" t="inlineStr">
        <is>
          <t>95% CI</t>
        </is>
      </c>
      <c r="K5" s="93" t="inlineStr">
        <is>
          <t>p 值</t>
        </is>
      </c>
      <c r="L5" s="93" t="inlineStr">
        <is>
          <t>显著性</t>
        </is>
      </c>
      <c r="M5" s="93" t="inlineStr">
        <is>
          <t>迁移分类 (95%CI)</t>
        </is>
      </c>
    </row>
    <row r="6">
      <c r="A6" s="131" t="inlineStr">
        <is>
          <t>完整 LOO</t>
        </is>
      </c>
      <c r="B6" s="131" t="inlineStr">
        <is>
          <t>全部数据集多源预训练</t>
        </is>
      </c>
      <c r="C6" s="131" t="inlineStr">
        <is>
          <t>osmFISH</t>
        </is>
      </c>
      <c r="D6" s="132" t="n">
        <v>10</v>
      </c>
      <c r="E6" s="133" t="n">
        <v>0.43296</v>
      </c>
      <c r="F6" s="133" t="inlineStr"/>
      <c r="G6" s="133" t="inlineStr"/>
      <c r="H6" s="133" t="inlineStr"/>
      <c r="I6" s="134" t="inlineStr"/>
      <c r="J6" s="134" t="inlineStr"/>
      <c r="K6" s="135" t="inlineStr"/>
      <c r="L6" s="134" t="inlineStr"/>
      <c r="M6" s="134" t="inlineStr"/>
    </row>
    <row r="7">
      <c r="A7" s="131" t="inlineStr">
        <is>
          <t>Single</t>
        </is>
      </c>
      <c r="B7" s="131" t="inlineStr">
        <is>
          <t>仅用 osmFISH 自身预训练</t>
        </is>
      </c>
      <c r="C7" s="131" t="inlineStr">
        <is>
          <t>osmFISH</t>
        </is>
      </c>
      <c r="D7" s="132" t="n">
        <v>10</v>
      </c>
      <c r="E7" s="133" t="n">
        <v>0.43605</v>
      </c>
      <c r="F7" s="133" t="inlineStr"/>
      <c r="G7" s="133" t="inlineStr"/>
      <c r="H7" s="133" t="inlineStr"/>
      <c r="I7" s="134" t="inlineStr"/>
      <c r="J7" s="134" t="inlineStr"/>
      <c r="K7" s="135" t="inlineStr"/>
      <c r="L7" s="134" t="inlineStr"/>
      <c r="M7" s="134" t="inlineStr"/>
    </row>
    <row r="8">
      <c r="A8" s="131" t="inlineStr">
        <is>
          <t>PCA</t>
        </is>
      </c>
      <c r="B8" s="131" t="inlineStr">
        <is>
          <t>无预训练，PCA + KMeans</t>
        </is>
      </c>
      <c r="C8" s="131" t="inlineStr">
        <is>
          <t>osmFISH</t>
        </is>
      </c>
      <c r="D8" s="132" t="n">
        <v>10</v>
      </c>
      <c r="E8" s="133" t="n">
        <v>0.19213</v>
      </c>
      <c r="F8" s="133" t="inlineStr"/>
      <c r="G8" s="133" t="inlineStr"/>
      <c r="H8" s="133" t="inlineStr"/>
      <c r="I8" s="134" t="inlineStr"/>
      <c r="J8" s="134" t="inlineStr"/>
      <c r="K8" s="135" t="inlineStr"/>
      <c r="L8" s="134" t="inlineStr"/>
      <c r="M8" s="134" t="inlineStr"/>
    </row>
    <row r="10" ht="20" customHeight="1" s="77">
      <c r="A10" s="92" t="inlineStr">
        <is>
          <t xml:space="preserve">  外部预训练源对比</t>
        </is>
      </c>
    </row>
    <row r="11" ht="32" customHeight="1" s="77">
      <c r="A11" s="93" t="inlineStr">
        <is>
          <t>源数据集</t>
        </is>
      </c>
      <c r="B11" s="93" t="inlineStr">
        <is>
          <t>源构成 / 属性</t>
        </is>
      </c>
      <c r="C11" s="93" t="inlineStr">
        <is>
          <t>目标</t>
        </is>
      </c>
      <c r="D11" s="93" t="inlineStr">
        <is>
          <t>种子数</t>
        </is>
      </c>
      <c r="E11" s="93" t="inlineStr">
        <is>
          <t>ARI</t>
        </is>
      </c>
      <c r="F11" s="93" t="inlineStr">
        <is>
          <t>± std</t>
        </is>
      </c>
      <c r="G11" s="93" t="inlineStr">
        <is>
          <t>Single 基线</t>
        </is>
      </c>
      <c r="H11" s="93" t="inlineStr">
        <is>
          <t>Δ (迁移−Single)</t>
        </is>
      </c>
      <c r="I11" s="93" t="inlineStr">
        <is>
          <t>90% CI</t>
        </is>
      </c>
      <c r="J11" s="93" t="inlineStr">
        <is>
          <t>95% CI</t>
        </is>
      </c>
      <c r="K11" s="93" t="inlineStr">
        <is>
          <t>p 值</t>
        </is>
      </c>
      <c r="L11" s="93" t="inlineStr">
        <is>
          <t>显著性</t>
        </is>
      </c>
      <c r="M11" s="93" t="inlineStr">
        <is>
          <t>迁移分类 (95%CI)</t>
        </is>
      </c>
    </row>
    <row r="12">
      <c r="A12" s="96" t="inlineStr">
        <is>
          <t>mfc</t>
        </is>
      </c>
      <c r="B12" s="96" t="inlineStr">
        <is>
          <t>MERFISH 鼠额叶皮层 — 与目标同为皮层，脑区最近</t>
        </is>
      </c>
      <c r="C12" s="96" t="inlineStr">
        <is>
          <t>osmFISH</t>
        </is>
      </c>
      <c r="D12" s="108" t="n">
        <v>10</v>
      </c>
      <c r="E12" s="109" t="n">
        <v>0.3492</v>
      </c>
      <c r="F12" s="109" t="n">
        <v>0.0423</v>
      </c>
      <c r="G12" s="109" t="n">
        <v>0.436</v>
      </c>
      <c r="H12" s="110" t="n">
        <v>-0.0868</v>
      </c>
      <c r="I12" s="106" t="inlineStr">
        <is>
          <t>[-0.1280, -0.0456]</t>
        </is>
      </c>
      <c r="J12" s="106" t="inlineStr">
        <is>
          <t>[-0.1377, -0.0360]</t>
        </is>
      </c>
      <c r="K12" s="112" t="n">
        <v>0.00383</v>
      </c>
      <c r="L12" s="106" t="inlineStr">
        <is>
          <t>**</t>
        </is>
      </c>
      <c r="M12" s="113" t="inlineStr">
        <is>
          <t>UI (Toward ET)</t>
        </is>
      </c>
    </row>
    <row r="13">
      <c r="A13" s="99" t="inlineStr">
        <is>
          <t>mfc+poa</t>
        </is>
      </c>
      <c r="B13" s="99" t="inlineStr">
        <is>
          <t>MFC + POA 组合源</t>
        </is>
      </c>
      <c r="C13" s="99" t="inlineStr">
        <is>
          <t>osmFISH</t>
        </is>
      </c>
      <c r="D13" s="114" t="n">
        <v>10</v>
      </c>
      <c r="E13" s="115" t="n">
        <v>0.3296</v>
      </c>
      <c r="F13" s="115" t="n">
        <v>0.0351</v>
      </c>
      <c r="G13" s="115" t="n">
        <v>0.436</v>
      </c>
      <c r="H13" s="116" t="n">
        <v>-0.1064</v>
      </c>
      <c r="I13" s="107" t="inlineStr">
        <is>
          <t>[-0.1417, -0.0712]</t>
        </is>
      </c>
      <c r="J13" s="107" t="inlineStr">
        <is>
          <t>[-0.1500, -0.0629]</t>
        </is>
      </c>
      <c r="K13" s="118" t="n">
        <v>0.000366</v>
      </c>
      <c r="L13" s="107" t="inlineStr">
        <is>
          <t>***</t>
        </is>
      </c>
      <c r="M13" s="119" t="inlineStr">
        <is>
          <t>UI (P)</t>
        </is>
      </c>
    </row>
    <row r="14">
      <c r="A14" s="96" t="inlineStr">
        <is>
          <t>poa</t>
        </is>
      </c>
      <c r="B14" s="96" t="inlineStr">
        <is>
          <t>MERFISH 鼠下丘脑视前区 — 与目标脑区最远</t>
        </is>
      </c>
      <c r="C14" s="96" t="inlineStr">
        <is>
          <t>osmFISH</t>
        </is>
      </c>
      <c r="D14" s="108" t="n">
        <v>10</v>
      </c>
      <c r="E14" s="109" t="n">
        <v>0.2675</v>
      </c>
      <c r="F14" s="109" t="n">
        <v>0.0345</v>
      </c>
      <c r="G14" s="109" t="n">
        <v>0.436</v>
      </c>
      <c r="H14" s="110" t="n">
        <v>-0.1686</v>
      </c>
      <c r="I14" s="106" t="inlineStr">
        <is>
          <t>[-0.2073, -0.1298]</t>
        </is>
      </c>
      <c r="J14" s="106" t="inlineStr">
        <is>
          <t>[-0.2164, -0.1207]</t>
        </is>
      </c>
      <c r="K14" s="112" t="n">
        <v>2.3e-05</v>
      </c>
      <c r="L14" s="106" t="inlineStr">
        <is>
          <t>***</t>
        </is>
      </c>
      <c r="M14" s="113" t="inlineStr">
        <is>
          <t>UI (P)</t>
        </is>
      </c>
    </row>
    <row r="16" ht="20" customHeight="1" s="77">
      <c r="A16" s="92" t="inlineStr">
        <is>
          <t xml:space="preserve">  结论</t>
        </is>
      </c>
    </row>
    <row r="17">
      <c r="A17" s="129" t="inlineStr">
        <is>
          <t>· 三种外部源全部显著负迁移（Δ = −0.087 ~ −0.169，p 均 &lt; 0.01）——跨平台条件下无法达到与 Single 等效。</t>
        </is>
      </c>
    </row>
    <row r="18">
      <c r="A18" s="129" t="inlineStr">
        <is>
          <t>· 源与目标的脑区越接近迁移越强：MFC（额叶皮层→体感皮层，同为皮层，−0.087）&gt; MFC+POA（−0.106）&gt; POA（下丘脑，−0.169）。</t>
        </is>
      </c>
    </row>
    <row r="19">
      <c r="A19" s="129" t="inlineStr">
        <is>
          <t>· 组合源在此不占优：加入远脑区的 POA 反而拖累 MFC 单源，与 P6 中「组合有益」的结论方向相反。</t>
        </is>
      </c>
    </row>
    <row r="20">
      <c r="A20" s="129" t="inlineStr">
        <is>
          <t>· osmFISH 仅 33 个基因、5328 细胞，Single 与 LOO 本就接近（0.436 vs 0.433），外部预训练的可提升空间有限。</t>
        </is>
      </c>
    </row>
  </sheetData>
  <mergeCells count="9">
    <mergeCell ref="A19:M19"/>
    <mergeCell ref="A1:M1"/>
    <mergeCell ref="A17:M17"/>
    <mergeCell ref="A18:M18"/>
    <mergeCell ref="A4:M4"/>
    <mergeCell ref="A2:M2"/>
    <mergeCell ref="A20:M20"/>
    <mergeCell ref="A16:M16"/>
    <mergeCell ref="A10:M10"/>
  </mergeCells>
  <pageMargins left="0.75" right="0.75" top="1" bottom="1" header="0.5" footer="0.5"/>
  <pageSetup orientation="landscape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M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style="77" min="1" max="1"/>
    <col width="34" customWidth="1" style="77" min="2" max="2"/>
    <col width="16" customWidth="1" style="77" min="3" max="3"/>
    <col width="8" customWidth="1" style="77" min="4" max="4"/>
    <col width="11" customWidth="1" style="77" min="5" max="5"/>
    <col width="9" customWidth="1" style="77" min="6" max="6"/>
    <col width="11" customWidth="1" style="77" min="7" max="7"/>
    <col width="14" customWidth="1" style="77" min="8" max="8"/>
    <col width="20" customWidth="1" style="77" min="9" max="9"/>
    <col width="20" customWidth="1" style="77" min="10" max="10"/>
    <col width="11" customWidth="1" style="77" min="11" max="11"/>
    <col width="9" customWidth="1" style="77" min="12" max="12"/>
    <col width="17" customWidth="1" style="77" min="13" max="13"/>
  </cols>
  <sheetData>
    <row r="1" ht="26" customHeight="1" s="77">
      <c r="A1" s="90" t="inlineStr">
        <is>
          <t>P19 Representative Equivalent Transfer — Cross-organ（Breast Cancer 为目标）</t>
        </is>
      </c>
    </row>
    <row r="2" ht="18" customHeight="1" s="77">
      <c r="A2" s="91" t="inlineStr">
        <is>
          <t>同平台（10x Visium）、同物种（人）条件下，源的疾病属性与多源性如何影响跨器官迁移；10 种子 × 5% 标注</t>
        </is>
      </c>
    </row>
    <row r="4" ht="20" customHeight="1" s="77">
      <c r="A4" s="92" t="inlineStr">
        <is>
          <t xml:space="preserve">  参考基线（目标：Breast_Cancer）</t>
        </is>
      </c>
    </row>
    <row r="5" ht="32" customHeight="1" s="77">
      <c r="A5" s="93" t="inlineStr">
        <is>
          <t>源数据集</t>
        </is>
      </c>
      <c r="B5" s="93" t="inlineStr">
        <is>
          <t>源构成 / 属性</t>
        </is>
      </c>
      <c r="C5" s="93" t="inlineStr">
        <is>
          <t>目标</t>
        </is>
      </c>
      <c r="D5" s="93" t="inlineStr">
        <is>
          <t>种子数</t>
        </is>
      </c>
      <c r="E5" s="93" t="inlineStr">
        <is>
          <t>ARI</t>
        </is>
      </c>
      <c r="F5" s="93" t="inlineStr">
        <is>
          <t>± std</t>
        </is>
      </c>
      <c r="G5" s="93" t="inlineStr">
        <is>
          <t>Single 基线</t>
        </is>
      </c>
      <c r="H5" s="93" t="inlineStr">
        <is>
          <t>Δ (迁移−Single)</t>
        </is>
      </c>
      <c r="I5" s="93" t="inlineStr">
        <is>
          <t>90% CI</t>
        </is>
      </c>
      <c r="J5" s="93" t="inlineStr">
        <is>
          <t>95% CI</t>
        </is>
      </c>
      <c r="K5" s="93" t="inlineStr">
        <is>
          <t>p 值</t>
        </is>
      </c>
      <c r="L5" s="93" t="inlineStr">
        <is>
          <t>显著性</t>
        </is>
      </c>
      <c r="M5" s="93" t="inlineStr">
        <is>
          <t>迁移分类 (95%CI)</t>
        </is>
      </c>
    </row>
    <row r="6">
      <c r="A6" s="131" t="inlineStr">
        <is>
          <t>完整 LOO</t>
        </is>
      </c>
      <c r="B6" s="131" t="inlineStr">
        <is>
          <t>全部数据集多源预训练</t>
        </is>
      </c>
      <c r="C6" s="131" t="inlineStr">
        <is>
          <t>Breast_Cancer</t>
        </is>
      </c>
      <c r="D6" s="132" t="n">
        <v>10</v>
      </c>
      <c r="E6" s="133" t="n">
        <v>0.69703</v>
      </c>
      <c r="F6" s="133" t="inlineStr"/>
      <c r="G6" s="133" t="inlineStr"/>
      <c r="H6" s="133" t="inlineStr"/>
      <c r="I6" s="134" t="inlineStr"/>
      <c r="J6" s="134" t="inlineStr"/>
      <c r="K6" s="135" t="inlineStr"/>
      <c r="L6" s="134" t="inlineStr"/>
      <c r="M6" s="134" t="inlineStr"/>
    </row>
    <row r="7">
      <c r="A7" s="131" t="inlineStr">
        <is>
          <t>Single</t>
        </is>
      </c>
      <c r="B7" s="131" t="inlineStr">
        <is>
          <t>仅用 Breast_Cancer 自身预训练</t>
        </is>
      </c>
      <c r="C7" s="131" t="inlineStr">
        <is>
          <t>Breast_Cancer</t>
        </is>
      </c>
      <c r="D7" s="132" t="n">
        <v>10</v>
      </c>
      <c r="E7" s="133" t="n">
        <v>0.74397</v>
      </c>
      <c r="F7" s="133" t="inlineStr"/>
      <c r="G7" s="133" t="inlineStr"/>
      <c r="H7" s="133" t="inlineStr"/>
      <c r="I7" s="134" t="inlineStr"/>
      <c r="J7" s="134" t="inlineStr"/>
      <c r="K7" s="135" t="inlineStr"/>
      <c r="L7" s="134" t="inlineStr"/>
      <c r="M7" s="134" t="inlineStr"/>
    </row>
    <row r="8">
      <c r="A8" s="131" t="inlineStr">
        <is>
          <t>PCA</t>
        </is>
      </c>
      <c r="B8" s="131" t="inlineStr">
        <is>
          <t>无预训练，PCA + KMeans</t>
        </is>
      </c>
      <c r="C8" s="131" t="inlineStr">
        <is>
          <t>Breast_Cancer</t>
        </is>
      </c>
      <c r="D8" s="132" t="n">
        <v>10</v>
      </c>
      <c r="E8" s="133" t="n">
        <v>0.5787199999999999</v>
      </c>
      <c r="F8" s="133" t="inlineStr"/>
      <c r="G8" s="133" t="inlineStr"/>
      <c r="H8" s="133" t="inlineStr"/>
      <c r="I8" s="134" t="inlineStr"/>
      <c r="J8" s="134" t="inlineStr"/>
      <c r="K8" s="135" t="inlineStr"/>
      <c r="L8" s="134" t="inlineStr"/>
      <c r="M8" s="134" t="inlineStr"/>
    </row>
    <row r="10" ht="20" customHeight="1" s="77">
      <c r="A10" s="92" t="inlineStr">
        <is>
          <t xml:space="preserve">  外部预训练源对比</t>
        </is>
      </c>
    </row>
    <row r="11" ht="32" customHeight="1" s="77">
      <c r="A11" s="93" t="inlineStr">
        <is>
          <t>源数据集</t>
        </is>
      </c>
      <c r="B11" s="93" t="inlineStr">
        <is>
          <t>源构成 / 属性</t>
        </is>
      </c>
      <c r="C11" s="93" t="inlineStr">
        <is>
          <t>目标</t>
        </is>
      </c>
      <c r="D11" s="93" t="inlineStr">
        <is>
          <t>种子数</t>
        </is>
      </c>
      <c r="E11" s="93" t="inlineStr">
        <is>
          <t>ARI</t>
        </is>
      </c>
      <c r="F11" s="93" t="inlineStr">
        <is>
          <t>± std</t>
        </is>
      </c>
      <c r="G11" s="93" t="inlineStr">
        <is>
          <t>Single 基线</t>
        </is>
      </c>
      <c r="H11" s="93" t="inlineStr">
        <is>
          <t>Δ (迁移−Single)</t>
        </is>
      </c>
      <c r="I11" s="93" t="inlineStr">
        <is>
          <t>90% CI</t>
        </is>
      </c>
      <c r="J11" s="93" t="inlineStr">
        <is>
          <t>95% CI</t>
        </is>
      </c>
      <c r="K11" s="93" t="inlineStr">
        <is>
          <t>p 值</t>
        </is>
      </c>
      <c r="L11" s="93" t="inlineStr">
        <is>
          <t>显著性</t>
        </is>
      </c>
      <c r="M11" s="93" t="inlineStr">
        <is>
          <t>迁移分类 (95%CI)</t>
        </is>
      </c>
    </row>
    <row r="12">
      <c r="A12" s="96" t="inlineStr">
        <is>
          <t>dlpfc</t>
        </is>
      </c>
      <c r="B12" s="96" t="inlineStr">
        <is>
          <t>同平台、同物种、跨器官，非癌症对照（人脑 DLPFC）</t>
        </is>
      </c>
      <c r="C12" s="96" t="inlineStr">
        <is>
          <t>Breast_Cancer</t>
        </is>
      </c>
      <c r="D12" s="108" t="n">
        <v>10</v>
      </c>
      <c r="E12" s="109" t="n">
        <v>0.6111</v>
      </c>
      <c r="F12" s="109" t="n">
        <v>0.0605</v>
      </c>
      <c r="G12" s="109" t="n">
        <v>0.744</v>
      </c>
      <c r="H12" s="110" t="n">
        <v>-0.1329</v>
      </c>
      <c r="I12" s="106" t="inlineStr">
        <is>
          <t>[-0.1823, -0.0834]</t>
        </is>
      </c>
      <c r="J12" s="106" t="inlineStr">
        <is>
          <t>[-0.1939, -0.0719]</t>
        </is>
      </c>
      <c r="K12" s="112" t="n">
        <v>0.000817</v>
      </c>
      <c r="L12" s="106" t="inlineStr">
        <is>
          <t>***</t>
        </is>
      </c>
      <c r="M12" s="113" t="inlineStr">
        <is>
          <t>UI (P)</t>
        </is>
      </c>
    </row>
    <row r="13">
      <c r="A13" s="99" t="inlineStr">
        <is>
          <t>lung</t>
        </is>
      </c>
      <c r="B13" s="99" t="inlineStr">
        <is>
          <t>单癌种来源（人肺癌）</t>
        </is>
      </c>
      <c r="C13" s="99" t="inlineStr">
        <is>
          <t>Breast_Cancer</t>
        </is>
      </c>
      <c r="D13" s="114" t="n">
        <v>10</v>
      </c>
      <c r="E13" s="115" t="n">
        <v>0.5207000000000001</v>
      </c>
      <c r="F13" s="115" t="n">
        <v>0.0333</v>
      </c>
      <c r="G13" s="115" t="n">
        <v>0.744</v>
      </c>
      <c r="H13" s="116" t="n">
        <v>-0.2233</v>
      </c>
      <c r="I13" s="107" t="inlineStr">
        <is>
          <t>[-0.2520, -0.1946]</t>
        </is>
      </c>
      <c r="J13" s="107" t="inlineStr">
        <is>
          <t>[-0.2587, -0.1879]</t>
        </is>
      </c>
      <c r="K13" s="118" t="inlineStr">
        <is>
          <t>&lt;0.000001</t>
        </is>
      </c>
      <c r="L13" s="107" t="inlineStr">
        <is>
          <t>***</t>
        </is>
      </c>
      <c r="M13" s="119" t="inlineStr">
        <is>
          <t>UI (P)</t>
        </is>
      </c>
    </row>
    <row r="14">
      <c r="A14" s="96" t="inlineStr">
        <is>
          <t>lung+ovarian</t>
        </is>
      </c>
      <c r="B14" s="96" t="inlineStr">
        <is>
          <t>多癌种来源</t>
        </is>
      </c>
      <c r="C14" s="96" t="inlineStr">
        <is>
          <t>Breast_Cancer</t>
        </is>
      </c>
      <c r="D14" s="108" t="n">
        <v>10</v>
      </c>
      <c r="E14" s="109" t="n">
        <v>0.4212</v>
      </c>
      <c r="F14" s="109" t="n">
        <v>0.0469</v>
      </c>
      <c r="G14" s="109" t="n">
        <v>0.744</v>
      </c>
      <c r="H14" s="110" t="n">
        <v>-0.3228</v>
      </c>
      <c r="I14" s="106" t="inlineStr">
        <is>
          <t>[-0.3549, -0.2906]</t>
        </is>
      </c>
      <c r="J14" s="106" t="inlineStr">
        <is>
          <t>[-0.3625, -0.2831]</t>
        </is>
      </c>
      <c r="K14" s="112" t="inlineStr">
        <is>
          <t>&lt;0.000001</t>
        </is>
      </c>
      <c r="L14" s="106" t="inlineStr">
        <is>
          <t>***</t>
        </is>
      </c>
      <c r="M14" s="113" t="inlineStr">
        <is>
          <t>UI (P)</t>
        </is>
      </c>
    </row>
    <row r="15">
      <c r="A15" s="99" t="inlineStr">
        <is>
          <t>all_visium</t>
        </is>
      </c>
      <c r="B15" s="99" t="inlineStr">
        <is>
          <t>完整多源参照：DLPFC + Mouse_anterior_brain + lung + ovarian</t>
        </is>
      </c>
      <c r="C15" s="99" t="inlineStr">
        <is>
          <t>Breast_Cancer</t>
        </is>
      </c>
      <c r="D15" s="114" t="n">
        <v>10</v>
      </c>
      <c r="E15" s="115" t="n">
        <v>0.4154</v>
      </c>
      <c r="F15" s="115" t="n">
        <v>0.0698</v>
      </c>
      <c r="G15" s="115" t="n">
        <v>0.744</v>
      </c>
      <c r="H15" s="116" t="n">
        <v>-0.3286</v>
      </c>
      <c r="I15" s="107" t="inlineStr">
        <is>
          <t>[-0.3698, -0.2873]</t>
        </is>
      </c>
      <c r="J15" s="107" t="inlineStr">
        <is>
          <t>[-0.3795, -0.2776]</t>
        </is>
      </c>
      <c r="K15" s="118" t="inlineStr">
        <is>
          <t>&lt;0.000001</t>
        </is>
      </c>
      <c r="L15" s="107" t="inlineStr">
        <is>
          <t>***</t>
        </is>
      </c>
      <c r="M15" s="119" t="inlineStr">
        <is>
          <t>UI (P)</t>
        </is>
      </c>
    </row>
    <row r="16">
      <c r="A16" s="96" t="inlineStr">
        <is>
          <t>ovarian</t>
        </is>
      </c>
      <c r="B16" s="96" t="inlineStr">
        <is>
          <t>单癌种来源（人卵巢癌，异质性最强）</t>
        </is>
      </c>
      <c r="C16" s="96" t="inlineStr">
        <is>
          <t>Breast_Cancer</t>
        </is>
      </c>
      <c r="D16" s="108" t="n">
        <v>10</v>
      </c>
      <c r="E16" s="109" t="n">
        <v>0.315</v>
      </c>
      <c r="F16" s="109" t="n">
        <v>0.0345</v>
      </c>
      <c r="G16" s="109" t="n">
        <v>0.744</v>
      </c>
      <c r="H16" s="110" t="n">
        <v>-0.4289</v>
      </c>
      <c r="I16" s="106" t="inlineStr">
        <is>
          <t>[-0.4529, -0.4050]</t>
        </is>
      </c>
      <c r="J16" s="106" t="inlineStr">
        <is>
          <t>[-0.4585, -0.3994]</t>
        </is>
      </c>
      <c r="K16" s="112" t="inlineStr">
        <is>
          <t>&lt;0.000001</t>
        </is>
      </c>
      <c r="L16" s="106" t="inlineStr">
        <is>
          <t>***</t>
        </is>
      </c>
      <c r="M16" s="113" t="inlineStr">
        <is>
          <t>UI (P)</t>
        </is>
      </c>
    </row>
    <row r="18" ht="20" customHeight="1" s="77">
      <c r="A18" s="92" t="inlineStr">
        <is>
          <t xml:space="preserve">  结论</t>
        </is>
      </c>
    </row>
    <row r="19">
      <c r="A19" s="129" t="inlineStr">
        <is>
          <t>· 同平台同物种的非癌源 DLPFC 迁移最好（Δ=−0.133），显著优于任何癌源 —— 疾病同质性并非有利因素。</t>
        </is>
      </c>
    </row>
    <row r="20">
      <c r="A20" s="129" t="inlineStr">
        <is>
          <t>· 混入异质癌源会稀释迁移：DLPFC 单源 0.611 &gt; lung+ovarian 0.421 ≈ all_visium 0.415 —— 多源在此有害。</t>
        </is>
      </c>
    </row>
    <row r="21">
      <c r="A21" s="129" t="inlineStr">
        <is>
          <t>· ovarian 单源最差（0.315，Δ=−0.429），其肿瘤微环境异质性与 Breast 差异过大。</t>
        </is>
      </c>
    </row>
    <row r="22">
      <c r="A22" s="129" t="inlineStr">
        <is>
          <t>· 与 P6 形成鲜明对比：Breast 数据量大、标注复杂（20 类），源相似度成为主控因素；POA 数据量小、类别简单（8 类），源多样性才是主控因素。</t>
        </is>
      </c>
    </row>
  </sheetData>
  <mergeCells count="9">
    <mergeCell ref="A19:M19"/>
    <mergeCell ref="A1:M1"/>
    <mergeCell ref="A22:M22"/>
    <mergeCell ref="A18:M18"/>
    <mergeCell ref="A4:M4"/>
    <mergeCell ref="A21:M21"/>
    <mergeCell ref="A20:M20"/>
    <mergeCell ref="A2:M2"/>
    <mergeCell ref="A10:M10"/>
  </mergeCells>
  <pageMargins left="0.75" right="0.75" top="1" bottom="1" header="0.5" footer="0.5"/>
  <pageSetup orientation="landscape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showGridLines="0" workbookViewId="0">
      <selection activeCell="A1" sqref="A1"/>
    </sheetView>
  </sheetViews>
  <sheetFormatPr baseColWidth="8" defaultRowHeight="15"/>
  <cols>
    <col width="12" customWidth="1" style="77" min="1" max="1"/>
    <col width="26" customWidth="1" style="77" min="2" max="2"/>
    <col width="12" customWidth="1" style="77" min="3" max="3"/>
    <col width="12" customWidth="1" style="77" min="4" max="4"/>
    <col width="12" customWidth="1" style="77" min="5" max="5"/>
    <col width="12" customWidth="1" style="77" min="6" max="6"/>
    <col width="60" customWidth="1" style="77" min="7" max="7"/>
  </cols>
  <sheetData>
    <row r="1" ht="26" customHeight="1" s="77">
      <c r="A1" s="90" t="inlineStr">
        <is>
          <t>迁移细化实验 — 关键结论总览</t>
        </is>
      </c>
    </row>
    <row r="2" ht="18" customHeight="1" s="77">
      <c r="A2" s="91" t="inlineStr">
        <is>
          <t>六组实验（P2 / P4 / P6 / P7–P16 / P18 / P19）共 97 个实验配置 × 10 固定种子 = 970 次种子级重复的结论汇总</t>
        </is>
      </c>
    </row>
    <row r="4" ht="20" customHeight="1" s="77">
      <c r="A4" s="92" t="inlineStr">
        <is>
          <t>一、六组实验一览</t>
        </is>
      </c>
    </row>
    <row r="5" ht="32" customHeight="1" s="77">
      <c r="A5" s="93" t="inlineStr">
        <is>
          <t>设计文档</t>
        </is>
      </c>
      <c r="B5" s="93" t="inlineStr">
        <is>
          <t>实验</t>
        </is>
      </c>
      <c r="C5" s="93" t="inlineStr">
        <is>
          <t>配置数</t>
        </is>
      </c>
      <c r="D5" s="93" t="inlineStr">
        <is>
          <t>平均 ARI</t>
        </is>
      </c>
      <c r="E5" s="93" t="inlineStr">
        <is>
          <t>平均 Δ</t>
        </is>
      </c>
      <c r="F5" s="93" t="inlineStr">
        <is>
          <t>最优配置</t>
        </is>
      </c>
      <c r="G5" s="93" t="inlineStr">
        <is>
          <t>关键结论</t>
        </is>
      </c>
    </row>
    <row r="6" ht="32" customHeight="1" s="77">
      <c r="A6" s="96" t="inlineStr">
        <is>
          <t>P2</t>
        </is>
      </c>
      <c r="B6" s="96" t="inlineStr">
        <is>
          <t>cross-slice 切片内 LOO</t>
        </is>
      </c>
      <c r="C6" s="108" t="n">
        <v>21</v>
      </c>
      <c r="D6" s="109" t="n">
        <v>0.6404</v>
      </c>
      <c r="E6" s="110" t="n">
        <v>-0.1209</v>
      </c>
      <c r="F6" s="106" t="inlineStr">
        <is>
          <t>MFC 8_0（Δ=−0.030）</t>
        </is>
      </c>
      <c r="G6" s="97" t="inlineStr">
        <is>
          <t>数据集内留一预训练稳定小幅负迁移，21/21 全负，整体达不到 Single</t>
        </is>
      </c>
    </row>
    <row r="7" ht="32" customHeight="1" s="77">
      <c r="A7" s="99" t="inlineStr">
        <is>
          <t>P4</t>
        </is>
      </c>
      <c r="B7" s="99" t="inlineStr">
        <is>
          <t>subject-to-subject 个体间</t>
        </is>
      </c>
      <c r="C7" s="114" t="n">
        <v>42</v>
      </c>
      <c r="D7" s="115" t="n">
        <v>0.5659999999999999</v>
      </c>
      <c r="E7" s="116" t="n">
        <v>-0.1952</v>
      </c>
      <c r="F7" s="107" t="inlineStr">
        <is>
          <t>DLPFC Donor2→151673（Δ=−0.040）</t>
        </is>
      </c>
      <c r="G7" s="100" t="inlineStr">
        <is>
          <t>跨个体迁移显著负迁移，边界比 cross-slice 更远</t>
        </is>
      </c>
    </row>
    <row r="8" ht="32" customHeight="1" s="77">
      <c r="A8" s="96" t="inlineStr">
        <is>
          <t>P6</t>
        </is>
      </c>
      <c r="B8" s="96" t="inlineStr">
        <is>
          <t>正迁移机制（POA）</t>
        </is>
      </c>
      <c r="C8" s="108" t="n">
        <v>3</v>
      </c>
      <c r="D8" s="109" t="n">
        <v>0.5597</v>
      </c>
      <c r="E8" s="110" t="n">
        <v>-0.1093</v>
      </c>
      <c r="F8" s="106" t="inlineStr">
        <is>
          <t>MFC+osmFISH（Δ=−0.042，p=0.16）</t>
        </is>
      </c>
      <c r="G8" s="97" t="inlineStr">
        <is>
          <t>单源均负；相似 + 跨平台组合已无法与 Single 区分；完整多源 LOO 最优 → 多源覆盖驱动正迁移</t>
        </is>
      </c>
    </row>
    <row r="9" ht="32" customHeight="1" s="77">
      <c r="A9" s="99" t="inlineStr">
        <is>
          <t>P7–P16</t>
        </is>
      </c>
      <c r="B9" s="99" t="inlineStr">
        <is>
          <t>数据规模（POA）</t>
        </is>
      </c>
      <c r="C9" s="114" t="n">
        <v>23</v>
      </c>
      <c r="D9" s="115" t="n">
        <v>0.4637</v>
      </c>
      <c r="E9" s="116" t="n">
        <v>-0.2053</v>
      </c>
      <c r="F9" s="107" t="inlineStr">
        <is>
          <t>9 张 MFC+osmFISH（Δ=−0.045，p=0.12）</t>
        </is>
      </c>
      <c r="G9" s="100" t="inlineStr">
        <is>
          <t>规模单调提效但有平台天花板；等细胞量下跨平台互补 &gt; 同源加量</t>
        </is>
      </c>
    </row>
    <row r="10" ht="32" customHeight="1" s="77">
      <c r="A10" s="96" t="inlineStr">
        <is>
          <t>P18</t>
        </is>
      </c>
      <c r="B10" s="96" t="inlineStr">
        <is>
          <t>跨平台等效（osmFISH）</t>
        </is>
      </c>
      <c r="C10" s="108" t="n">
        <v>3</v>
      </c>
      <c r="D10" s="109" t="n">
        <v>0.3154</v>
      </c>
      <c r="E10" s="110" t="n">
        <v>-0.1206</v>
      </c>
      <c r="F10" s="106" t="inlineStr">
        <is>
          <t>MFC（Δ=−0.087）</t>
        </is>
      </c>
      <c r="G10" s="97" t="inlineStr">
        <is>
          <t>跨平台外部预训练无法等效 Single；源与目标脑区越近越好</t>
        </is>
      </c>
    </row>
    <row r="11" ht="32" customHeight="1" s="77">
      <c r="A11" s="99" t="inlineStr">
        <is>
          <t>P19</t>
        </is>
      </c>
      <c r="B11" s="99" t="inlineStr">
        <is>
          <t>跨器官等效（Breast）</t>
        </is>
      </c>
      <c r="C11" s="114" t="n">
        <v>5</v>
      </c>
      <c r="D11" s="115" t="n">
        <v>0.4567</v>
      </c>
      <c r="E11" s="116" t="n">
        <v>-0.2873</v>
      </c>
      <c r="F11" s="107" t="inlineStr">
        <is>
          <t>DLPFC（Δ=−0.133）</t>
        </is>
      </c>
      <c r="G11" s="100" t="inlineStr">
        <is>
          <t>源相似度主导：同平台同物种非癌源优于癌源；异质多源稀释有害</t>
        </is>
      </c>
    </row>
    <row r="13" ht="20" customHeight="1" s="77">
      <c r="A13" s="92" t="inlineStr">
        <is>
          <t>二、迁移分类分布（95%CI，等效界 ±0.0388）</t>
        </is>
      </c>
    </row>
    <row r="14" ht="32" customHeight="1" s="77">
      <c r="A14" s="93" t="inlineStr">
        <is>
          <t>分类</t>
        </is>
      </c>
      <c r="B14" s="93" t="inlineStr">
        <is>
          <t>含义</t>
        </is>
      </c>
      <c r="C14" s="93" t="inlineStr">
        <is>
          <t>本次新增实验中的组数</t>
        </is>
      </c>
      <c r="D14" s="93" t="inlineStr">
        <is>
          <t>占比</t>
        </is>
      </c>
      <c r="E14" s="93" t="inlineStr">
        <is>
          <t>典型配置</t>
        </is>
      </c>
      <c r="F14" s="93" t="inlineStr"/>
      <c r="G14" s="93" t="inlineStr"/>
    </row>
    <row r="15">
      <c r="A15" s="102" t="inlineStr">
        <is>
          <t>PT</t>
        </is>
      </c>
      <c r="B15" s="96" t="inlineStr">
        <is>
          <t>正迁移，显著优于 Single</t>
        </is>
      </c>
      <c r="C15" s="108" t="n">
        <v>0</v>
      </c>
      <c r="D15" s="106" t="inlineStr">
        <is>
          <t>0%</t>
        </is>
      </c>
      <c r="E15" s="106" t="inlineStr">
        <is>
          <t>新增实验中无；完整 LOO 在 POA 上为 PT（Δ=+0.110）</t>
        </is>
      </c>
      <c r="F15" s="98" t="n"/>
      <c r="G15" s="98" t="n"/>
    </row>
    <row r="16">
      <c r="A16" s="103" t="inlineStr">
        <is>
          <t>ET</t>
        </is>
      </c>
      <c r="B16" s="99" t="inlineStr">
        <is>
          <t>等效迁移，Δ 落在 ±0.0388 等效界内</t>
        </is>
      </c>
      <c r="C16" s="114" t="n">
        <v>2</v>
      </c>
      <c r="D16" s="107" t="inlineStr">
        <is>
          <t>2%</t>
        </is>
      </c>
      <c r="E16" s="107" t="inlineStr">
        <is>
          <t>DLPFC 151673（Δ=−0.017）、MFC 8_0（Δ=−0.030）</t>
        </is>
      </c>
      <c r="F16" s="101" t="n"/>
      <c r="G16" s="101" t="n"/>
    </row>
    <row r="17">
      <c r="A17" s="104" t="inlineStr">
        <is>
          <t>UI</t>
        </is>
      </c>
      <c r="B17" s="96" t="inlineStr">
        <is>
          <t>信息不足，Δ 劣于 Single 且超出等效界</t>
        </is>
      </c>
      <c r="C17" s="108" t="n">
        <v>95</v>
      </c>
      <c r="D17" s="106" t="inlineStr">
        <is>
          <t>98%</t>
        </is>
      </c>
      <c r="E17" s="106" t="inlineStr">
        <is>
          <t>其余全部配置；其中 UI (Toward ET) 表示 95%CI 仍与等效界相交</t>
        </is>
      </c>
      <c r="F17" s="98" t="n"/>
      <c r="G17" s="98" t="n"/>
    </row>
    <row r="18">
      <c r="A18" s="103" t="inlineStr">
        <is>
          <t>（另一口径）</t>
        </is>
      </c>
      <c r="B18" s="99" t="inlineStr">
        <is>
          <t>配对 t 检验 p≥0.05，即统计上无法与 Single 区分</t>
        </is>
      </c>
      <c r="C18" s="114" t="n">
        <v>3</v>
      </c>
      <c r="D18" s="107" t="inlineStr">
        <is>
          <t>3%</t>
        </is>
      </c>
      <c r="E18" s="107" t="inlineStr">
        <is>
          <t>MFC+osmFISH→POA (p=0.16)、9MFC+osmFISH→POA (p=0.12)、DLPFC 151673 (p=0.35)</t>
        </is>
      </c>
      <c r="F18" s="101" t="n"/>
      <c r="G18" s="101" t="n"/>
    </row>
    <row r="20" ht="20" customHeight="1" s="77">
      <c r="A20" s="92" t="inlineStr">
        <is>
          <t>三、对论文 / 参赛材料叙述的建议</t>
        </is>
      </c>
    </row>
    <row r="21" ht="18" customHeight="1" s="77">
      <c r="A21" s="129" t="inlineStr">
        <is>
          <t>· 等效迁移的正例：POA 上完整 LOO 显著优于 Single（+0.110），MFC+osmFISH 组合已统计不可区分 —— 可作为「多源覆盖驱动正迁移」的直接证据。</t>
        </is>
      </c>
    </row>
    <row r="22" ht="18" customHeight="1" s="77">
      <c r="A22" s="129" t="inlineStr">
        <is>
          <t>· 迁移边界：P2 与 P4 的全负 Δ 表明预训练-适配框架的收益集中在全局多源预训练，而非小规模同源预训练，这是清晰且可复现的边界结论。</t>
        </is>
      </c>
    </row>
    <row r="23" ht="18" customHeight="1" s="77">
      <c r="A23" s="129" t="inlineStr">
        <is>
          <t>· 规模效应：源规模单调提效 + 跨平台互补 &gt; 同源加量，为「构建多样化预训练语料」提供直接依据。</t>
        </is>
      </c>
    </row>
    <row r="24" ht="18" customHeight="1" s="77">
      <c r="A24" s="129" t="inlineStr">
        <is>
          <t>· 谨慎表述：Breast / osmFISH 场景外部预训练未达 Single，建议如实呈现并写入 limitation / discussion，而非回避。</t>
        </is>
      </c>
    </row>
    <row r="25" ht="18" customHeight="1" s="77">
      <c r="A25" s="129" t="inlineStr">
        <is>
          <t>· 统计严谨性是本工作的强项：10 固定种子、配对 t + bootstrap 双口径 CI、TOST 等效检验，可在「实验验证」维度充分展开。</t>
        </is>
      </c>
    </row>
  </sheetData>
  <mergeCells count="14">
    <mergeCell ref="A13:G13"/>
    <mergeCell ref="A1:G1"/>
    <mergeCell ref="A21:G21"/>
    <mergeCell ref="A22:G22"/>
    <mergeCell ref="A4:G4"/>
    <mergeCell ref="A20:G20"/>
    <mergeCell ref="E17:G17"/>
    <mergeCell ref="A2:G2"/>
    <mergeCell ref="E18:G18"/>
    <mergeCell ref="A23:G23"/>
    <mergeCell ref="A24:G24"/>
    <mergeCell ref="A25:G25"/>
    <mergeCell ref="E15:G15"/>
    <mergeCell ref="E16:G16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huym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2026-08-15T07:12:21Z</dcterms:modified>
  <cp:lastModifiedBy>Yanmei Hu</cp:lastModifiedBy>
</cp:coreProperties>
</file>